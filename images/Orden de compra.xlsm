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Mancera\Documents\archivo web ordenes de compra\"/>
    </mc:Choice>
  </mc:AlternateContent>
  <xr:revisionPtr revIDLastSave="0" documentId="13_ncr:1_{075E8147-1600-4A8B-A113-EDAF020904A8}" xr6:coauthVersionLast="36" xr6:coauthVersionMax="36" xr10:uidLastSave="{00000000-0000-0000-0000-000000000000}"/>
  <workbookProtection workbookAlgorithmName="SHA-512" workbookHashValue="3jMUK7XmUFxahRsOu2Mz7JsWGuoAusiE2X3yeNUEutuzbxIzwd+Yi2De1d00CRrgI71nBl0XWy+B2Qs11HgNDA==" workbookSaltValue="2DJZN4IvnjPQI37zRMSMxw==" workbookSpinCount="100000" lockStructure="1"/>
  <bookViews>
    <workbookView xWindow="0" yWindow="0" windowWidth="24000" windowHeight="9180" xr2:uid="{00000000-000D-0000-FFFF-FFFF00000000}"/>
  </bookViews>
  <sheets>
    <sheet name="Factura de ventas" sheetId="1" r:id="rId1"/>
    <sheet name="Claves" sheetId="2" r:id="rId2"/>
    <sheet name="Referencias Bancarias" sheetId="3" r:id="rId3"/>
  </sheets>
  <functionGroups builtInGroupCount="19"/>
  <definedNames>
    <definedName name="_xlnm._FilterDatabase" localSheetId="1" hidden="1">Claves!$A$4:$D$324</definedName>
    <definedName name="_xlnm.Print_Area" localSheetId="1">Claves!$A$1:$D$310</definedName>
    <definedName name="_xlnm.Print_Area" localSheetId="0">'Factura de ventas'!$A$1:$H$58</definedName>
    <definedName name="_xlnm.Print_Titles" localSheetId="1">Claves!$4:$4</definedName>
  </definedNames>
  <calcPr calcId="191029"/>
</workbook>
</file>

<file path=xl/calcChain.xml><?xml version="1.0" encoding="utf-8"?>
<calcChain xmlns="http://schemas.openxmlformats.org/spreadsheetml/2006/main">
  <c r="F49" i="1" l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C49" i="1"/>
  <c r="B49" i="1"/>
  <c r="C48" i="1"/>
  <c r="B48" i="1"/>
  <c r="C47" i="1"/>
  <c r="B47" i="1"/>
  <c r="C46" i="1"/>
  <c r="B46" i="1"/>
  <c r="C45" i="1"/>
  <c r="B45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B34" i="1"/>
  <c r="C33" i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F26" i="1"/>
  <c r="C26" i="1"/>
  <c r="B26" i="1"/>
  <c r="G17" i="2" l="1"/>
  <c r="G301" i="2"/>
  <c r="G300" i="2"/>
  <c r="G299" i="2"/>
  <c r="G298" i="2"/>
  <c r="G297" i="2"/>
  <c r="G296" i="2"/>
  <c r="G295" i="2"/>
  <c r="G294" i="2"/>
  <c r="G293" i="2"/>
  <c r="G292" i="2"/>
  <c r="G291" i="2"/>
  <c r="G75" i="2"/>
  <c r="G74" i="2"/>
  <c r="G290" i="2"/>
  <c r="G289" i="2"/>
  <c r="G288" i="2"/>
  <c r="G286" i="2"/>
  <c r="G285" i="2"/>
  <c r="G284" i="2"/>
  <c r="G283" i="2"/>
  <c r="G282" i="2"/>
  <c r="G73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57" i="2"/>
  <c r="G56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164" i="2"/>
  <c r="G42" i="2"/>
  <c r="G41" i="2"/>
  <c r="G40" i="2"/>
  <c r="G39" i="2"/>
  <c r="G38" i="2"/>
  <c r="G37" i="2"/>
  <c r="G163" i="2"/>
  <c r="G162" i="2"/>
  <c r="G161" i="2"/>
  <c r="G160" i="2"/>
  <c r="G159" i="2"/>
  <c r="G158" i="2"/>
  <c r="G157" i="2"/>
  <c r="G156" i="2"/>
  <c r="G155" i="2"/>
  <c r="G154" i="2"/>
  <c r="G153" i="2"/>
  <c r="G36" i="2"/>
  <c r="G152" i="2"/>
  <c r="G151" i="2"/>
  <c r="G150" i="2"/>
  <c r="G149" i="2"/>
  <c r="G35" i="2"/>
  <c r="G34" i="2"/>
  <c r="G33" i="2"/>
  <c r="G32" i="2"/>
  <c r="G31" i="2"/>
  <c r="G29" i="2"/>
  <c r="G28" i="2"/>
  <c r="G27" i="2"/>
  <c r="G26" i="2"/>
  <c r="G25" i="2"/>
  <c r="G148" i="2"/>
  <c r="G24" i="2"/>
  <c r="G23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22" i="2"/>
  <c r="G95" i="2"/>
  <c r="G21" i="2"/>
  <c r="G20" i="2"/>
  <c r="G19" i="2"/>
  <c r="G18" i="2"/>
  <c r="G16" i="2"/>
  <c r="G1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14" i="2"/>
  <c r="G13" i="2"/>
  <c r="G12" i="2"/>
  <c r="G11" i="2"/>
  <c r="G10" i="2"/>
  <c r="G9" i="2"/>
  <c r="G8" i="2"/>
  <c r="G7" i="2"/>
  <c r="G6" i="2"/>
  <c r="G5" i="2"/>
  <c r="G76" i="2"/>
  <c r="G30" i="2"/>
  <c r="C383" i="1" l="1"/>
  <c r="C382" i="1"/>
  <c r="C381" i="1"/>
  <c r="C380" i="1"/>
  <c r="C379" i="1"/>
  <c r="H27" i="1" l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26" i="1"/>
  <c r="H50" i="1" l="1"/>
  <c r="H52" i="1" s="1"/>
  <c r="C5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Ing.Raul Taboada</author>
  </authors>
  <commentList>
    <comment ref="F17" authorId="0" shapeId="0" xr:uid="{00000000-0006-0000-0000-000001000000}">
      <text>
        <r>
          <rPr>
            <sz val="9"/>
            <color indexed="81"/>
            <rFont val="Comic Sans MS"/>
            <family val="4"/>
          </rPr>
          <t xml:space="preserve">Para el llenado de la ficha bancaria; favor de </t>
        </r>
        <r>
          <rPr>
            <i/>
            <sz val="9"/>
            <color indexed="81"/>
            <rFont val="Comic Sans MS"/>
            <family val="4"/>
          </rPr>
          <t>verificar el convenio y referencia bancaria</t>
        </r>
        <r>
          <rPr>
            <sz val="9"/>
            <color indexed="81"/>
            <rFont val="Comic Sans MS"/>
            <family val="4"/>
          </rPr>
          <t xml:space="preserve"> de su localidad.</t>
        </r>
      </text>
    </comment>
    <comment ref="D26" authorId="0" shapeId="0" xr:uid="{00000000-0006-0000-0000-000002000000}">
      <text>
        <r>
          <rPr>
            <sz val="9"/>
            <color indexed="81"/>
            <rFont val="Comic Sans MS"/>
            <family val="4"/>
          </rPr>
          <t>Detalle en la descripcion la cantidad de piezas requeridas de acuerdo al articulo solicitado.</t>
        </r>
      </text>
    </comment>
  </commentList>
</comments>
</file>

<file path=xl/sharedStrings.xml><?xml version="1.0" encoding="utf-8"?>
<sst xmlns="http://schemas.openxmlformats.org/spreadsheetml/2006/main" count="1807" uniqueCount="926">
  <si>
    <t>Teléfono</t>
  </si>
  <si>
    <t>CANTIDAD</t>
  </si>
  <si>
    <t>PRECIO POR UNIDAD</t>
  </si>
  <si>
    <t>SUBTOTAL</t>
  </si>
  <si>
    <t>TOTAL</t>
  </si>
  <si>
    <t>Mexico D.F.</t>
  </si>
  <si>
    <t>CRUZ ROJA MEXICANA I.A.P</t>
  </si>
  <si>
    <t>CLAVE</t>
  </si>
  <si>
    <t>ARTICULO</t>
  </si>
  <si>
    <t>PRECIO 
POR UNIDAD</t>
  </si>
  <si>
    <t>ORDEN DE COMPRA</t>
  </si>
  <si>
    <t>NINGUNO</t>
  </si>
  <si>
    <t>Teléfono (0155) 10844621</t>
  </si>
  <si>
    <t>Pedido a:</t>
  </si>
  <si>
    <t>Nombre Socio:</t>
  </si>
  <si>
    <t>No.Socio:</t>
  </si>
  <si>
    <t>CRUZ ROJA MEXICANA I.A.P.</t>
  </si>
  <si>
    <t>OBSERVACIONES</t>
  </si>
  <si>
    <t>-</t>
  </si>
  <si>
    <t xml:space="preserve">           VENDEDOR</t>
  </si>
  <si>
    <t>TOTAL CON LETRA:</t>
  </si>
  <si>
    <t>BANCOMER</t>
  </si>
  <si>
    <t>CONVENIO</t>
  </si>
  <si>
    <t>REFERENCIA</t>
  </si>
  <si>
    <t>CIE</t>
  </si>
  <si>
    <t>Sede  Nacional</t>
  </si>
  <si>
    <t>Distrito Federal</t>
  </si>
  <si>
    <t>Hospital Central Cruz Roja</t>
  </si>
  <si>
    <t>Centro Inteligente de Urgencias</t>
  </si>
  <si>
    <t>C E N C A D</t>
  </si>
  <si>
    <t>Estatal Aguascalientes</t>
  </si>
  <si>
    <t>Aguascalientes</t>
  </si>
  <si>
    <t>Estatal Baja California</t>
  </si>
  <si>
    <t>Camalu</t>
  </si>
  <si>
    <t>Ensenada</t>
  </si>
  <si>
    <t>Mexicali</t>
  </si>
  <si>
    <t>Rosarito</t>
  </si>
  <si>
    <t>Tecate</t>
  </si>
  <si>
    <t>Tijuana</t>
  </si>
  <si>
    <t>San Felipe</t>
  </si>
  <si>
    <t>San Quintín</t>
  </si>
  <si>
    <t>El Tezterazo</t>
  </si>
  <si>
    <t>Estatal Baja California Sur</t>
  </si>
  <si>
    <t>Cabo San Lucas</t>
  </si>
  <si>
    <t>Cd. Constitución</t>
  </si>
  <si>
    <t>Cd. Insurgentes</t>
  </si>
  <si>
    <t>La Paz</t>
  </si>
  <si>
    <t>Loreto</t>
  </si>
  <si>
    <t>Pescadero</t>
  </si>
  <si>
    <t>Puerto San Carlos</t>
  </si>
  <si>
    <t>San Antonio</t>
  </si>
  <si>
    <t>San José del Cabo</t>
  </si>
  <si>
    <t>San Juanico</t>
  </si>
  <si>
    <t>Santa Rosalia</t>
  </si>
  <si>
    <t>Todos Santos</t>
  </si>
  <si>
    <t>Los Planes</t>
  </si>
  <si>
    <t>San Ignacio</t>
  </si>
  <si>
    <t>Santiago</t>
  </si>
  <si>
    <t>Guerrero Negro</t>
  </si>
  <si>
    <t>La Ribera</t>
  </si>
  <si>
    <t>Miraflores</t>
  </si>
  <si>
    <t>Mulege</t>
  </si>
  <si>
    <t>Estatal Campeche</t>
  </si>
  <si>
    <t>Campeche</t>
  </si>
  <si>
    <t>Cd. del Carmen</t>
  </si>
  <si>
    <t>Ixpuhil</t>
  </si>
  <si>
    <t>Estatal Coahuila</t>
  </si>
  <si>
    <t>Cd. Acuña</t>
  </si>
  <si>
    <t>Fco. I. Madero</t>
  </si>
  <si>
    <t>Matamoros Laguna</t>
  </si>
  <si>
    <t>Monclova</t>
  </si>
  <si>
    <t>Parras de la Fuente</t>
  </si>
  <si>
    <t>Piedras Negras</t>
  </si>
  <si>
    <t>Sabinas</t>
  </si>
  <si>
    <t>Saltillo</t>
  </si>
  <si>
    <t>Sn.Pedro</t>
  </si>
  <si>
    <t>Torreón</t>
  </si>
  <si>
    <t>Jiménez</t>
  </si>
  <si>
    <t>Zaragoza</t>
  </si>
  <si>
    <t>Estatal Colima</t>
  </si>
  <si>
    <t>Armería</t>
  </si>
  <si>
    <t>Cerro de Ortega</t>
  </si>
  <si>
    <t>Colima</t>
  </si>
  <si>
    <t>Manzanillo</t>
  </si>
  <si>
    <t>Tecomán</t>
  </si>
  <si>
    <t>Villa Alvárez</t>
  </si>
  <si>
    <t>Estatal Chiapas</t>
  </si>
  <si>
    <t>Arriaga</t>
  </si>
  <si>
    <t>Cintalapa</t>
  </si>
  <si>
    <t>Comitán de Domíguez</t>
  </si>
  <si>
    <t>Ixtapa</t>
  </si>
  <si>
    <t>Ocozocoautla de Espinoza</t>
  </si>
  <si>
    <t>San Cristobal las Casas</t>
  </si>
  <si>
    <t>Tapachula</t>
  </si>
  <si>
    <t>Tonalá</t>
  </si>
  <si>
    <t>Tuxtla Gutiérrez</t>
  </si>
  <si>
    <t>Villaflores</t>
  </si>
  <si>
    <t>Huixtla</t>
  </si>
  <si>
    <t>Copainalá</t>
  </si>
  <si>
    <t>Chiapa de Corzo</t>
  </si>
  <si>
    <t>Mapastepec</t>
  </si>
  <si>
    <t>Las Margaritas</t>
  </si>
  <si>
    <t>Tuxtla Chico</t>
  </si>
  <si>
    <t>Villa Corzo</t>
  </si>
  <si>
    <t>Ocosingo</t>
  </si>
  <si>
    <t>Chilón</t>
  </si>
  <si>
    <t>Palenque</t>
  </si>
  <si>
    <t>Yajalón</t>
  </si>
  <si>
    <t>Estatal Chihuahua</t>
  </si>
  <si>
    <t>Balleza</t>
  </si>
  <si>
    <t>Chihuahua</t>
  </si>
  <si>
    <t>Cd. Camargo</t>
  </si>
  <si>
    <t>Cd. Delicias</t>
  </si>
  <si>
    <t>Cd. Jiménez</t>
  </si>
  <si>
    <t>Cd. Juárez</t>
  </si>
  <si>
    <t>Cd. Meoqui</t>
  </si>
  <si>
    <t>Cd. Ojinaga</t>
  </si>
  <si>
    <t>Cuauhtémoc</t>
  </si>
  <si>
    <t>Hidalgo del Parral</t>
  </si>
  <si>
    <t>Nvo.Casas Grandes</t>
  </si>
  <si>
    <t>Ricardo Flores Magón</t>
  </si>
  <si>
    <t>Villa Ahumada</t>
  </si>
  <si>
    <t>Cd. Madera</t>
  </si>
  <si>
    <t>Buenaventura</t>
  </si>
  <si>
    <t>Cd. Aldama</t>
  </si>
  <si>
    <t>Julimes</t>
  </si>
  <si>
    <t>La Junta</t>
  </si>
  <si>
    <t>Cd. Guerrero</t>
  </si>
  <si>
    <t>Soto Maynez</t>
  </si>
  <si>
    <t>Estatal Durango</t>
  </si>
  <si>
    <t>Canatlán</t>
  </si>
  <si>
    <t>Cd. Gpe. Victoria</t>
  </si>
  <si>
    <t>Cd. Lerdo</t>
  </si>
  <si>
    <t>Cuencame</t>
  </si>
  <si>
    <t>Durango</t>
  </si>
  <si>
    <t>Gómez Palacio</t>
  </si>
  <si>
    <t>Nuevo Ideal</t>
  </si>
  <si>
    <t>Rodeo</t>
  </si>
  <si>
    <t>Santiago Papasquiaro</t>
  </si>
  <si>
    <t>Vicente Guerrero</t>
  </si>
  <si>
    <t>Tepehuanes</t>
  </si>
  <si>
    <t>Tlahualilo</t>
  </si>
  <si>
    <t>Estatal Guanajuato</t>
  </si>
  <si>
    <t>Abasolo</t>
  </si>
  <si>
    <t>Acámbaro</t>
  </si>
  <si>
    <t>Apaseo el Grande</t>
  </si>
  <si>
    <t>Celaya</t>
  </si>
  <si>
    <t>Cortazar</t>
  </si>
  <si>
    <t>Dolores Hidalgo</t>
  </si>
  <si>
    <t>Guanajuato</t>
  </si>
  <si>
    <t>Irapuato</t>
  </si>
  <si>
    <t>León</t>
  </si>
  <si>
    <t>Moroleón</t>
  </si>
  <si>
    <t>Pénjamo</t>
  </si>
  <si>
    <t>Salamanca</t>
  </si>
  <si>
    <t>Salvatierra</t>
  </si>
  <si>
    <t>Sn.Fco.del Rincón</t>
  </si>
  <si>
    <t>San José Iturbide</t>
  </si>
  <si>
    <t>Sn. Luis de la Paz</t>
  </si>
  <si>
    <t>Sn.Miguel de Allende</t>
  </si>
  <si>
    <t>Silao</t>
  </si>
  <si>
    <t>Valle de Santiago</t>
  </si>
  <si>
    <t>Villagrán</t>
  </si>
  <si>
    <t>Cd. Manuel Doblado</t>
  </si>
  <si>
    <t>Ocampo</t>
  </si>
  <si>
    <t>Estatal Guerrero</t>
  </si>
  <si>
    <t>Acapulco</t>
  </si>
  <si>
    <t>Chilpancingo</t>
  </si>
  <si>
    <t>Cd. Altamirano</t>
  </si>
  <si>
    <t>Iguala</t>
  </si>
  <si>
    <t>Taxco</t>
  </si>
  <si>
    <t>Tlapa de Comonfort</t>
  </si>
  <si>
    <t>Zihuatanejo</t>
  </si>
  <si>
    <t>Coyuca de Benitez</t>
  </si>
  <si>
    <t>Técpan de Galeana</t>
  </si>
  <si>
    <t>Cuajinicuilapan           Ometec</t>
  </si>
  <si>
    <t>Teloloapan</t>
  </si>
  <si>
    <t>Atoyac de Alvarez</t>
  </si>
  <si>
    <t>Estatal Hidalgo</t>
  </si>
  <si>
    <t>Actopan</t>
  </si>
  <si>
    <t>Apan</t>
  </si>
  <si>
    <t>Huejutla de Reyes</t>
  </si>
  <si>
    <t>Jacala</t>
  </si>
  <si>
    <t>Pachuca</t>
  </si>
  <si>
    <t>Tizayuca</t>
  </si>
  <si>
    <t>Tula de Allende</t>
  </si>
  <si>
    <t>Tulancingo</t>
  </si>
  <si>
    <t>Zimapán</t>
  </si>
  <si>
    <t>Atotonilco el Grande</t>
  </si>
  <si>
    <t>Cd. Sahagún</t>
  </si>
  <si>
    <t>Ixmiquilpan</t>
  </si>
  <si>
    <t>Molango</t>
  </si>
  <si>
    <t>Huichapan</t>
  </si>
  <si>
    <t>Estatal Jalisco</t>
  </si>
  <si>
    <t>Ameca</t>
  </si>
  <si>
    <t>Atequiza</t>
  </si>
  <si>
    <t>Atotonilco</t>
  </si>
  <si>
    <t>Autlán</t>
  </si>
  <si>
    <t>Ayotlán</t>
  </si>
  <si>
    <t>Capilla de Guadalupe</t>
  </si>
  <si>
    <t>Chapala</t>
  </si>
  <si>
    <t>Cihuatlán</t>
  </si>
  <si>
    <t>Cd. Guzmán</t>
  </si>
  <si>
    <t>El Grullo</t>
  </si>
  <si>
    <t>Encarnación de Díaz</t>
  </si>
  <si>
    <t>Gómez Farias</t>
  </si>
  <si>
    <t>Guadalajara</t>
  </si>
  <si>
    <t>Jalostotitlán</t>
  </si>
  <si>
    <t>Jesús María</t>
  </si>
  <si>
    <t>La Barca</t>
  </si>
  <si>
    <t>Lagos de Moreno</t>
  </si>
  <si>
    <t>Mexticacan</t>
  </si>
  <si>
    <t>Ocotlán</t>
  </si>
  <si>
    <t>Pegueros</t>
  </si>
  <si>
    <t>Pihuamo</t>
  </si>
  <si>
    <t>Poncitlán</t>
  </si>
  <si>
    <t>Puerto Vallarta</t>
  </si>
  <si>
    <t>Sn. Juan de los Lagos</t>
  </si>
  <si>
    <t>Sayula</t>
  </si>
  <si>
    <t>Tecalitlán</t>
  </si>
  <si>
    <t>Tecolotlán</t>
  </si>
  <si>
    <t>Tepatitlán</t>
  </si>
  <si>
    <t>Tequila</t>
  </si>
  <si>
    <t>Tomatlán</t>
  </si>
  <si>
    <t>Tototlán</t>
  </si>
  <si>
    <t>Valle de Guadalupe</t>
  </si>
  <si>
    <t>Yahualica</t>
  </si>
  <si>
    <t>Zapotlanejo</t>
  </si>
  <si>
    <t>Villa Hidalgo</t>
  </si>
  <si>
    <t>Sn.José de Gracia</t>
  </si>
  <si>
    <t>Sn.Ignacio Cerro Gordo</t>
  </si>
  <si>
    <t>Arandas</t>
  </si>
  <si>
    <t>La Huerta</t>
  </si>
  <si>
    <t>Juanacatlán</t>
  </si>
  <si>
    <t>Estatal Estado de México</t>
  </si>
  <si>
    <t>Amecameca</t>
  </si>
  <si>
    <t>Atizapán de Zaragoza</t>
  </si>
  <si>
    <t>Atlacomulco</t>
  </si>
  <si>
    <t>Chalco</t>
  </si>
  <si>
    <t>Cd.Nezahualcoyotl La Perla</t>
  </si>
  <si>
    <t>Cd.Nezahualcoyotl Zona Norte</t>
  </si>
  <si>
    <t>Coacalco</t>
  </si>
  <si>
    <t>Lázaro Cárdenas</t>
  </si>
  <si>
    <t>Cuautitlán de México</t>
  </si>
  <si>
    <t>Cuautitlán Izcalli</t>
  </si>
  <si>
    <t>Ixtapaluca</t>
  </si>
  <si>
    <t>Ixtapan de la Sal</t>
  </si>
  <si>
    <t>Los Reyes la Paz</t>
  </si>
  <si>
    <t>Naucalpan de Juárez</t>
  </si>
  <si>
    <t>Sn. Cristobal Ecatepec</t>
  </si>
  <si>
    <t>Tejupilco</t>
  </si>
  <si>
    <t>Teotihuacán de Arista</t>
  </si>
  <si>
    <t>Texcoco</t>
  </si>
  <si>
    <t>Tlalnepantla</t>
  </si>
  <si>
    <t>Toluca</t>
  </si>
  <si>
    <t>Valle de Bravo</t>
  </si>
  <si>
    <t>Villa Nicolás Romero</t>
  </si>
  <si>
    <t>Zumpango de Ocampo</t>
  </si>
  <si>
    <t>Metepec</t>
  </si>
  <si>
    <t>Sn.Mateo Atenco</t>
  </si>
  <si>
    <t>Tenancingo</t>
  </si>
  <si>
    <t>Los Encinos Lerma</t>
  </si>
  <si>
    <t>Tecamac</t>
  </si>
  <si>
    <t>El Oro</t>
  </si>
  <si>
    <t>Valle de Chalco Solidaridad</t>
  </si>
  <si>
    <t>Estatal Michoacán</t>
  </si>
  <si>
    <t>Angangueo</t>
  </si>
  <si>
    <t>Apatzingan</t>
  </si>
  <si>
    <t>Cd. Hidalgo</t>
  </si>
  <si>
    <t>Cd. Lázaro Cárdenas</t>
  </si>
  <si>
    <t>La Piedad</t>
  </si>
  <si>
    <t>Maravatío</t>
  </si>
  <si>
    <t>Morelia</t>
  </si>
  <si>
    <t>Quiroga</t>
  </si>
  <si>
    <t>Sahuayo</t>
  </si>
  <si>
    <t>Huetamo</t>
  </si>
  <si>
    <t>Tacámbaro</t>
  </si>
  <si>
    <t>Tlalpujahua</t>
  </si>
  <si>
    <t>Uruapan</t>
  </si>
  <si>
    <t>Zacápu</t>
  </si>
  <si>
    <t>Zamora</t>
  </si>
  <si>
    <t>Zitácuaro</t>
  </si>
  <si>
    <t>Los Reyes</t>
  </si>
  <si>
    <t>Zinapécuaro</t>
  </si>
  <si>
    <t>Arteaga</t>
  </si>
  <si>
    <t>Ixtlán de los Hervores</t>
  </si>
  <si>
    <t>Estatal Morelos</t>
  </si>
  <si>
    <t>Cuautla</t>
  </si>
  <si>
    <t>Cuernavaca</t>
  </si>
  <si>
    <t>Jojutla</t>
  </si>
  <si>
    <t>Estatal Nayarit</t>
  </si>
  <si>
    <t>Acaponeta</t>
  </si>
  <si>
    <t>Compostela</t>
  </si>
  <si>
    <t>Ixtlán del Río</t>
  </si>
  <si>
    <t>Santiago Ixcuintla</t>
  </si>
  <si>
    <t>Tepic</t>
  </si>
  <si>
    <t>Tecuala</t>
  </si>
  <si>
    <t>Estatal Nuevo León</t>
  </si>
  <si>
    <t>Cerralvo</t>
  </si>
  <si>
    <t>Linares</t>
  </si>
  <si>
    <t>Montemorelos</t>
  </si>
  <si>
    <t>Monterrey</t>
  </si>
  <si>
    <t>Sabinas Hidalgo</t>
  </si>
  <si>
    <t>General Terán</t>
  </si>
  <si>
    <t>Benito Juárez</t>
  </si>
  <si>
    <t>Allende</t>
  </si>
  <si>
    <t>Estatal Oaxaca</t>
  </si>
  <si>
    <t>Oaxaca</t>
  </si>
  <si>
    <t>Puerto Escondido</t>
  </si>
  <si>
    <t>Salina Cruz</t>
  </si>
  <si>
    <t>Tehuantepec</t>
  </si>
  <si>
    <t>Tlacolula</t>
  </si>
  <si>
    <t>Tuxtepec</t>
  </si>
  <si>
    <t>Loma Bonita</t>
  </si>
  <si>
    <t>Bahias de Huatulco</t>
  </si>
  <si>
    <t>Tlaxiaco</t>
  </si>
  <si>
    <t>Huajuapan</t>
  </si>
  <si>
    <t>Estatal Puebla</t>
  </si>
  <si>
    <t>Acatlán de Osorio</t>
  </si>
  <si>
    <t>Amozoc de Mota</t>
  </si>
  <si>
    <t>Atlixco</t>
  </si>
  <si>
    <t>Cholula</t>
  </si>
  <si>
    <t>Cd. Serdan</t>
  </si>
  <si>
    <t>Huauchinango</t>
  </si>
  <si>
    <t>Huejotzingo</t>
  </si>
  <si>
    <t>Hueytamalco</t>
  </si>
  <si>
    <t>Izúcar de Matamoros</t>
  </si>
  <si>
    <t>Puebla</t>
  </si>
  <si>
    <t>Sn.Martín Texmelucan</t>
  </si>
  <si>
    <t>Tecamachalco</t>
  </si>
  <si>
    <t>Tehuacán</t>
  </si>
  <si>
    <t>Tepeaca</t>
  </si>
  <si>
    <t>Teziutlán</t>
  </si>
  <si>
    <t>Tlatlauquitepec</t>
  </si>
  <si>
    <t>Villa Rafael Lara Grajales</t>
  </si>
  <si>
    <t>Xicotepec de Juárez</t>
  </si>
  <si>
    <t>Zacapoaxtla</t>
  </si>
  <si>
    <t>Zacatlán</t>
  </si>
  <si>
    <t>Chignahuapan</t>
  </si>
  <si>
    <t>Estatal Querétaro</t>
  </si>
  <si>
    <t>Santiago de Quéretaro.</t>
  </si>
  <si>
    <t>San Juan del Río</t>
  </si>
  <si>
    <t>Tequisquiápan</t>
  </si>
  <si>
    <t>Estatal Quintana Roo</t>
  </si>
  <si>
    <t>Cancun</t>
  </si>
  <si>
    <t>Chetumal</t>
  </si>
  <si>
    <t>Cozumel</t>
  </si>
  <si>
    <t>Isla Mujeres</t>
  </si>
  <si>
    <t>Playa del Carmen</t>
  </si>
  <si>
    <t>Rojo Gómez</t>
  </si>
  <si>
    <t>Felipe Carrillo Puerto</t>
  </si>
  <si>
    <t>Estatal San Luis Potosí</t>
  </si>
  <si>
    <t>Cárdenas</t>
  </si>
  <si>
    <t>Cd. del Maíz</t>
  </si>
  <si>
    <t>Ciudad Valles</t>
  </si>
  <si>
    <t>Matehuala</t>
  </si>
  <si>
    <t>Río Verde</t>
  </si>
  <si>
    <t>San Luis Potosi</t>
  </si>
  <si>
    <t>Tamuin</t>
  </si>
  <si>
    <t>Villa de Reyes</t>
  </si>
  <si>
    <t>Xilitla</t>
  </si>
  <si>
    <t>El Naranjo</t>
  </si>
  <si>
    <t>Huichihuayan</t>
  </si>
  <si>
    <t>Estatal Sinaloa</t>
  </si>
  <si>
    <t>Ahome</t>
  </si>
  <si>
    <t>Angostura</t>
  </si>
  <si>
    <t>Badiraguato</t>
  </si>
  <si>
    <t>Choix</t>
  </si>
  <si>
    <t>Concordia</t>
  </si>
  <si>
    <t>Cosala</t>
  </si>
  <si>
    <t>Coyotitan</t>
  </si>
  <si>
    <t>Culiacan</t>
  </si>
  <si>
    <t>El Dorado</t>
  </si>
  <si>
    <t>El Fuerte</t>
  </si>
  <si>
    <t>El Gato de Lara</t>
  </si>
  <si>
    <t>Escuinapa</t>
  </si>
  <si>
    <t>Estación Dimas</t>
  </si>
  <si>
    <t>Genaro Estrada</t>
  </si>
  <si>
    <t>Guamuchil</t>
  </si>
  <si>
    <t>Guasave</t>
  </si>
  <si>
    <t>Gral.Guillermo Chávez Talamante</t>
  </si>
  <si>
    <t>Gral.Juan José Ríos</t>
  </si>
  <si>
    <t>La Cruz Elota</t>
  </si>
  <si>
    <t>Los Mochis</t>
  </si>
  <si>
    <t>Mazatlán</t>
  </si>
  <si>
    <t>Mocorito</t>
  </si>
  <si>
    <t>Navolato</t>
  </si>
  <si>
    <t>Pericos</t>
  </si>
  <si>
    <t>Rosario</t>
  </si>
  <si>
    <t>Ruíz Cortines</t>
  </si>
  <si>
    <t>San Blas</t>
  </si>
  <si>
    <t>Sinaloa de Leyva</t>
  </si>
  <si>
    <t>Villa Angel Flores</t>
  </si>
  <si>
    <t>Villa Juárez</t>
  </si>
  <si>
    <t>Quila</t>
  </si>
  <si>
    <t>Costa Rica</t>
  </si>
  <si>
    <t>Higueras de Zaragoza</t>
  </si>
  <si>
    <t>Topolobampo</t>
  </si>
  <si>
    <t>Teacapan</t>
  </si>
  <si>
    <t>Estación Bamoa</t>
  </si>
  <si>
    <t>Estatal Sonora</t>
  </si>
  <si>
    <t>Aconchi</t>
  </si>
  <si>
    <t>Agua Prieta</t>
  </si>
  <si>
    <t>Alamos</t>
  </si>
  <si>
    <t>Arizpe</t>
  </si>
  <si>
    <t>Bacoachi</t>
  </si>
  <si>
    <t>Baviacora</t>
  </si>
  <si>
    <t>Benjamin Hill</t>
  </si>
  <si>
    <t>Caborca</t>
  </si>
  <si>
    <t>Cananea</t>
  </si>
  <si>
    <t>Carbo</t>
  </si>
  <si>
    <t>Cd. Obregón</t>
  </si>
  <si>
    <t>Cucurpe</t>
  </si>
  <si>
    <t>Cumpas</t>
  </si>
  <si>
    <t>Empalme</t>
  </si>
  <si>
    <t>Etchojoa</t>
  </si>
  <si>
    <t>Francisco Javier Mina</t>
  </si>
  <si>
    <t>Granados</t>
  </si>
  <si>
    <t>Guaymas</t>
  </si>
  <si>
    <t>Hermosillo</t>
  </si>
  <si>
    <t>Huatabampo</t>
  </si>
  <si>
    <t>Inmuris</t>
  </si>
  <si>
    <t>Magdalena de Kino</t>
  </si>
  <si>
    <t>Moctezuma</t>
  </si>
  <si>
    <t>Nacozari de García</t>
  </si>
  <si>
    <t>Navojoa</t>
  </si>
  <si>
    <t>Nogales</t>
  </si>
  <si>
    <t>Opodepe</t>
  </si>
  <si>
    <t>Pueblo Yaqui</t>
  </si>
  <si>
    <t>Puerto Peñasco</t>
  </si>
  <si>
    <t>Rayón</t>
  </si>
  <si>
    <t>Sn.Luis Río Colorado</t>
  </si>
  <si>
    <t>Estación Pesqueira</t>
  </si>
  <si>
    <t>San Pedro de la Cueva</t>
  </si>
  <si>
    <t>Santa Ana</t>
  </si>
  <si>
    <t>Sonoita</t>
  </si>
  <si>
    <t>Suaqui Grande</t>
  </si>
  <si>
    <t>Tepache</t>
  </si>
  <si>
    <t>Ures</t>
  </si>
  <si>
    <t>Bacobampo</t>
  </si>
  <si>
    <t>San Ignacio Rio Muerto</t>
  </si>
  <si>
    <t>Esqueda</t>
  </si>
  <si>
    <t>Vicam</t>
  </si>
  <si>
    <t>Bacum</t>
  </si>
  <si>
    <t>Yecora</t>
  </si>
  <si>
    <t>Estatal Tabasco</t>
  </si>
  <si>
    <t>H. Cárdenas</t>
  </si>
  <si>
    <t>Comalcalco</t>
  </si>
  <si>
    <t>Villahermosa</t>
  </si>
  <si>
    <t>Emiliano Zapata</t>
  </si>
  <si>
    <t>Estatal Tamaulipas</t>
  </si>
  <si>
    <t>Cd. Altamira</t>
  </si>
  <si>
    <t>Cd.Gustavo Díaz Ordáz</t>
  </si>
  <si>
    <t>Cd. Madero</t>
  </si>
  <si>
    <t>Cd. Mante</t>
  </si>
  <si>
    <t>Cd.Mier</t>
  </si>
  <si>
    <t>Cd. Miguel Alemán</t>
  </si>
  <si>
    <t>Cd. Ocampo</t>
  </si>
  <si>
    <t>Cd. Reynosa</t>
  </si>
  <si>
    <t>Cd. Río Bravo</t>
  </si>
  <si>
    <t>Cd. Victoria</t>
  </si>
  <si>
    <t>Estación Manuel</t>
  </si>
  <si>
    <t>Francisco González Villarreal</t>
  </si>
  <si>
    <t>Hidalgo</t>
  </si>
  <si>
    <t>Jaumave</t>
  </si>
  <si>
    <t>Matamoros</t>
  </si>
  <si>
    <t>Nueva Ciudad Guerrero</t>
  </si>
  <si>
    <t>Nueva Villa de Padilla</t>
  </si>
  <si>
    <t>Nvo. Laredo</t>
  </si>
  <si>
    <t>Nvo. Progreso</t>
  </si>
  <si>
    <t>San Fernando</t>
  </si>
  <si>
    <t>Santander Jiménez</t>
  </si>
  <si>
    <t>Tampico</t>
  </si>
  <si>
    <t>Tula</t>
  </si>
  <si>
    <t>Valle Hermoso</t>
  </si>
  <si>
    <t>Villa Aldama</t>
  </si>
  <si>
    <t>Villa González</t>
  </si>
  <si>
    <t>Xicotencatl</t>
  </si>
  <si>
    <t>Villa de Llera</t>
  </si>
  <si>
    <t>Soto la Marina</t>
  </si>
  <si>
    <t>Estatal Tlaxcala</t>
  </si>
  <si>
    <t>Apizaco</t>
  </si>
  <si>
    <t>Calpulalpan</t>
  </si>
  <si>
    <t>Huamantla</t>
  </si>
  <si>
    <t>Sta.Ana Chiautempan</t>
  </si>
  <si>
    <t>Tlaxcala</t>
  </si>
  <si>
    <t>Tlaxco</t>
  </si>
  <si>
    <t>Zacatelco</t>
  </si>
  <si>
    <t>San Pablo del Monte</t>
  </si>
  <si>
    <t>Santa Ana Nopalucan</t>
  </si>
  <si>
    <t>Estatal Veracrúz</t>
  </si>
  <si>
    <t>Acayucan</t>
  </si>
  <si>
    <t>Agua Dulce</t>
  </si>
  <si>
    <t>Álamo</t>
  </si>
  <si>
    <t>Alvarado</t>
  </si>
  <si>
    <t>Carlos A. Carrillo</t>
  </si>
  <si>
    <t>Catemaco</t>
  </si>
  <si>
    <t>Cerro Azul</t>
  </si>
  <si>
    <t>Cd. José Cardel</t>
  </si>
  <si>
    <t>Cd. Mendoza</t>
  </si>
  <si>
    <t>Coatepec</t>
  </si>
  <si>
    <t>Coatzacoalcos</t>
  </si>
  <si>
    <t>Córdoba</t>
  </si>
  <si>
    <t>Gutiérrez Zamora</t>
  </si>
  <si>
    <t>Huatusco</t>
  </si>
  <si>
    <t>Isla</t>
  </si>
  <si>
    <t>Jaltipan</t>
  </si>
  <si>
    <t>Las Choapas</t>
  </si>
  <si>
    <t>Martínez de la Torre</t>
  </si>
  <si>
    <t>Minatitlán</t>
  </si>
  <si>
    <t>Misantla</t>
  </si>
  <si>
    <t>Nanchital</t>
  </si>
  <si>
    <t>Naranjos</t>
  </si>
  <si>
    <t>Orizaba</t>
  </si>
  <si>
    <t>Panuco</t>
  </si>
  <si>
    <t>Papantla</t>
  </si>
  <si>
    <t>Perote</t>
  </si>
  <si>
    <t>Poza Rica</t>
  </si>
  <si>
    <t>San Andrés Tuxtla</t>
  </si>
  <si>
    <t>San Rafael</t>
  </si>
  <si>
    <t>Tantoyuca</t>
  </si>
  <si>
    <t>Tierra Blanca</t>
  </si>
  <si>
    <t>Tihuatlán</t>
  </si>
  <si>
    <t>Tlapacoyan</t>
  </si>
  <si>
    <t>Tuxpan</t>
  </si>
  <si>
    <t>Vega de Alatorre</t>
  </si>
  <si>
    <t>Veracrúz-Boca del Rio</t>
  </si>
  <si>
    <t>Villa Emiliano Zapata</t>
  </si>
  <si>
    <t>Villa Ursulo Galván</t>
  </si>
  <si>
    <t>Xalapa</t>
  </si>
  <si>
    <t>Xico</t>
  </si>
  <si>
    <t>Boca del Río</t>
  </si>
  <si>
    <t>Lerdo de Tejada</t>
  </si>
  <si>
    <t>Naolinco de Victoria</t>
  </si>
  <si>
    <t>Cosoleacaque</t>
  </si>
  <si>
    <t>Ozuluama</t>
  </si>
  <si>
    <t>Chicontepec</t>
  </si>
  <si>
    <t>Huayacocotla</t>
  </si>
  <si>
    <t>Estatal Yucatán</t>
  </si>
  <si>
    <t>Mérida</t>
  </si>
  <si>
    <t>Valladolid</t>
  </si>
  <si>
    <t>Tekax</t>
  </si>
  <si>
    <t>Tizimin</t>
  </si>
  <si>
    <t>Progreso</t>
  </si>
  <si>
    <t>Estatal Zacatecas</t>
  </si>
  <si>
    <t>Fresnillo</t>
  </si>
  <si>
    <t>Nochistlán</t>
  </si>
  <si>
    <t>Zacatecas</t>
  </si>
  <si>
    <t>Villa de Cos</t>
  </si>
  <si>
    <t>Tlaltenango</t>
  </si>
  <si>
    <t>Jerez de García Salinas</t>
  </si>
  <si>
    <t>Ojocaliente</t>
  </si>
  <si>
    <t>Valparaiso</t>
  </si>
  <si>
    <t>Dirección:</t>
  </si>
  <si>
    <t>Colonia:</t>
  </si>
  <si>
    <t>C.P</t>
  </si>
  <si>
    <t>Delegación:</t>
  </si>
  <si>
    <t>MÁS GASTOS DE ENVIO</t>
  </si>
  <si>
    <t>PZA</t>
  </si>
  <si>
    <t>T: X</t>
  </si>
  <si>
    <t>T: XX</t>
  </si>
  <si>
    <t>T: XXX</t>
  </si>
  <si>
    <t>T: 32</t>
  </si>
  <si>
    <t>T: 34</t>
  </si>
  <si>
    <t>T: 36</t>
  </si>
  <si>
    <t>T: 38</t>
  </si>
  <si>
    <t>T: 40</t>
  </si>
  <si>
    <t>T: 42</t>
  </si>
  <si>
    <t>T: 44</t>
  </si>
  <si>
    <t>T: 46</t>
  </si>
  <si>
    <t>T: 30</t>
  </si>
  <si>
    <t>T: 48</t>
  </si>
  <si>
    <t>T: 52</t>
  </si>
  <si>
    <t>T: 54</t>
  </si>
  <si>
    <t>T: 56</t>
  </si>
  <si>
    <t>T: 58</t>
  </si>
  <si>
    <t>T: EXCH</t>
  </si>
  <si>
    <t>T: 26</t>
  </si>
  <si>
    <t>T: 28</t>
  </si>
  <si>
    <t>T: 11</t>
  </si>
  <si>
    <t>T: 13</t>
  </si>
  <si>
    <t>T: 5</t>
  </si>
  <si>
    <t>T: 7</t>
  </si>
  <si>
    <t>T: 9</t>
  </si>
  <si>
    <t>CUENTA INTERBANCARIA</t>
  </si>
  <si>
    <t>012180001479187128</t>
  </si>
  <si>
    <t>T.EXCHICA</t>
  </si>
  <si>
    <t>T. CHI</t>
  </si>
  <si>
    <t>T.MED</t>
  </si>
  <si>
    <t>T.EXG</t>
  </si>
  <si>
    <t>T.GDE</t>
  </si>
  <si>
    <t>T: CH, MED, GDE.</t>
  </si>
  <si>
    <t>T: CH, MED, GDE, XG, XXG.</t>
  </si>
  <si>
    <t>NO. 22,23,24,25,26 Y 27</t>
  </si>
  <si>
    <t>GDE</t>
  </si>
  <si>
    <t>EXGDE</t>
  </si>
  <si>
    <t>CHI</t>
  </si>
  <si>
    <t>MED</t>
  </si>
  <si>
    <t>EXCHI</t>
  </si>
  <si>
    <t>Salvando vidas, Cambiando Mentalidades</t>
  </si>
  <si>
    <t>Juan Luis Vives No.200-2</t>
  </si>
  <si>
    <t>Fecha:</t>
  </si>
  <si>
    <t>Comentarios :</t>
  </si>
  <si>
    <t>Sector Refle/tela prevencion</t>
  </si>
  <si>
    <t>Sector Refl/Tela Capacitacion</t>
  </si>
  <si>
    <t>Llavero C/Reloj</t>
  </si>
  <si>
    <t>Chamarra Ligera Sin.</t>
  </si>
  <si>
    <t>LIBRO 50 Convencion pasta dura</t>
  </si>
  <si>
    <t>Boligrafo Stikman</t>
  </si>
  <si>
    <t>Sector Espalda Dama Voluntaria</t>
  </si>
  <si>
    <t>Tarjetera Artesanal de piel</t>
  </si>
  <si>
    <t>Corbata De Seda Mod. 2012</t>
  </si>
  <si>
    <t>Dije Luna De Plata</t>
  </si>
  <si>
    <t>Dije P/Celular Plata</t>
  </si>
  <si>
    <t>Dije Plata Ambulancia.</t>
  </si>
  <si>
    <t>Dije Plata Chico.</t>
  </si>
  <si>
    <t>Dije Plata Grande.</t>
  </si>
  <si>
    <t>Dije Plata Mediano.</t>
  </si>
  <si>
    <t>Distintivo De Medico</t>
  </si>
  <si>
    <t>Distintivo De Veteranos</t>
  </si>
  <si>
    <t>Encendedor</t>
  </si>
  <si>
    <t>Falda Dama Voluntaria 26</t>
  </si>
  <si>
    <t>Falda Dama Voluntaria 28</t>
  </si>
  <si>
    <t>Falda Dama Voluntaria 30</t>
  </si>
  <si>
    <t>Falda Dama Voluntaria 32</t>
  </si>
  <si>
    <t>Falda Dama Voluntaria 34</t>
  </si>
  <si>
    <t>Falda Dama Voluntaria 36</t>
  </si>
  <si>
    <t>Falda Dama Voluntaria 38</t>
  </si>
  <si>
    <t>Falda Dama Voluntaria 40</t>
  </si>
  <si>
    <t>Falda Dama Voluntaria 42</t>
  </si>
  <si>
    <t>Falda Dama Voluntaria 44</t>
  </si>
  <si>
    <t>Falda Dama Voluntaria 46</t>
  </si>
  <si>
    <t>Fotoboton Plata Chico.</t>
  </si>
  <si>
    <t>Fotoboton Plata Grande.</t>
  </si>
  <si>
    <t>Gargantilla De Caucho</t>
  </si>
  <si>
    <t>Gorra Roja Servicio C. R. M.</t>
  </si>
  <si>
    <t>Impermeable T/Manga Con Logo</t>
  </si>
  <si>
    <t>Arete Cruz Pequeña Plata</t>
  </si>
  <si>
    <t>Aretes Chico C/Logo Plata</t>
  </si>
  <si>
    <t>Aretes Cruz Grande Plata</t>
  </si>
  <si>
    <t>Llavero Metal Niño</t>
  </si>
  <si>
    <t>Llavero Niña</t>
  </si>
  <si>
    <t>Llavero Sector</t>
  </si>
  <si>
    <t>Mascada Nuevo Mod C.R.M.</t>
  </si>
  <si>
    <t>Overol C. R. M. 32</t>
  </si>
  <si>
    <t>Overol C. R. M. 34</t>
  </si>
  <si>
    <t>Overol C. R. M. 36</t>
  </si>
  <si>
    <t>Overol C. R. M. 38</t>
  </si>
  <si>
    <t>Overol C. R. M. 40</t>
  </si>
  <si>
    <t>Overol C. R. M. 42</t>
  </si>
  <si>
    <t>Overol C. R. M. 44</t>
  </si>
  <si>
    <t>Overol C. R. M. 46</t>
  </si>
  <si>
    <t>Overol C. R. M. 48</t>
  </si>
  <si>
    <t>Pantalon Dama Voluntaria 26</t>
  </si>
  <si>
    <t>Pantalon Dama Voluntaria 28</t>
  </si>
  <si>
    <t>Pantalon Dama Voluntaria 30</t>
  </si>
  <si>
    <t>Pantalon Dama Voluntaria 32</t>
  </si>
  <si>
    <t>Pantalon Dama Voluntaria 34</t>
  </si>
  <si>
    <t>Pantalon Dama Voluntaria 36</t>
  </si>
  <si>
    <t>Pantalon Dama Voluntaria 38</t>
  </si>
  <si>
    <t>Pantalon Dama Voluntaria 40</t>
  </si>
  <si>
    <t>Pantalon Dama Voluntaria 42</t>
  </si>
  <si>
    <t>Pantalon Dama Voluntaria 44</t>
  </si>
  <si>
    <t>Pantalon Dama Voluntaria 46</t>
  </si>
  <si>
    <t>Pastillero Circular</t>
  </si>
  <si>
    <t>Peto Corto C. R. M.</t>
  </si>
  <si>
    <t>Peto Juventud</t>
  </si>
  <si>
    <t>Peto Largo C.R.M.</t>
  </si>
  <si>
    <t>Puerquito Alcancia</t>
  </si>
  <si>
    <t>Playera Polo Dama. Ext X</t>
  </si>
  <si>
    <t>Playera Polo Dama. Ext Xx</t>
  </si>
  <si>
    <t>Playera Polo Dama. Ext Xxx</t>
  </si>
  <si>
    <t>Pluma Mod. 550</t>
  </si>
  <si>
    <t>Pluma Mod. Maxifrost</t>
  </si>
  <si>
    <t>Porta Gafete</t>
  </si>
  <si>
    <t>Prendedor De Cruz Plata</t>
  </si>
  <si>
    <t>Pulsera Plata</t>
  </si>
  <si>
    <t>Saco Dama Voluntaria 26</t>
  </si>
  <si>
    <t>Saco Dama Voluntaria 28</t>
  </si>
  <si>
    <t>Saco Dama Voluntaria 30</t>
  </si>
  <si>
    <t>Saco Dama Voluntaria 32</t>
  </si>
  <si>
    <t>Saco Dama Voluntaria 34</t>
  </si>
  <si>
    <t>Saco Dama Voluntaria 36</t>
  </si>
  <si>
    <t>Saco Dama Voluntaria 38</t>
  </si>
  <si>
    <t>Saco Dama Voluntaria 40</t>
  </si>
  <si>
    <t>Saco Dama Voluntaria 42</t>
  </si>
  <si>
    <t>Saco Dama Voluntaria 44</t>
  </si>
  <si>
    <t>Saco Dama Voluntaria 46</t>
  </si>
  <si>
    <t>Sector Bordado De Damas</t>
  </si>
  <si>
    <t>Sector Bordado De Enfermeria</t>
  </si>
  <si>
    <t>Sector Bordado De Juventud</t>
  </si>
  <si>
    <t>Sector Bordado De Veteranos</t>
  </si>
  <si>
    <t>Sector Bordado Difusion</t>
  </si>
  <si>
    <t>Sector Espalda Juventud</t>
  </si>
  <si>
    <t>Sueter P/Dama C.R.M. Exg</t>
  </si>
  <si>
    <t>Sueter P/Dama C.R.M. Gde</t>
  </si>
  <si>
    <t>Sueter P/Dama C.R.M. Med</t>
  </si>
  <si>
    <t>Taza CRM Serigrafia</t>
  </si>
  <si>
    <t>Vestido Dama Voluntaria 26</t>
  </si>
  <si>
    <t>Vestido Dama Voluntaria 28</t>
  </si>
  <si>
    <t>Vestido Dama Voluntaria 30</t>
  </si>
  <si>
    <t>Vestido Dama Voluntaria 32</t>
  </si>
  <si>
    <t>Vestido Dama Voluntaria 34</t>
  </si>
  <si>
    <t>Vestido Dama Voluntaria 36</t>
  </si>
  <si>
    <t>Vestido Dama Voluntaria 38</t>
  </si>
  <si>
    <t>Vestido Dama Voluntaria 40</t>
  </si>
  <si>
    <t>Vestido Dama Voluntaria 42</t>
  </si>
  <si>
    <t>Vestido Dama Voluntaria 44</t>
  </si>
  <si>
    <t>Vestido Dama Voluntaria 46</t>
  </si>
  <si>
    <t>Cubo Magnetico Metalico</t>
  </si>
  <si>
    <t>Blusa Modelo 100 Chica</t>
  </si>
  <si>
    <t>Blusa Modelo 100 Mediana</t>
  </si>
  <si>
    <t>Blusa Modelo 100 Grande</t>
  </si>
  <si>
    <t>Blusa Modelo 100 Extragrande</t>
  </si>
  <si>
    <t>Blusa Modelo 200 Chica</t>
  </si>
  <si>
    <t>Blusa Modelo 200 Mediana</t>
  </si>
  <si>
    <t>Blusa Modelo 200 Grande</t>
  </si>
  <si>
    <t>Blusa Modelo 200 Extragrande</t>
  </si>
  <si>
    <t>Overol C. R. M. 30</t>
  </si>
  <si>
    <t>Mascada 54-54 Corta</t>
  </si>
  <si>
    <t>Sector Reflejante/Tela CRM</t>
  </si>
  <si>
    <t>LIBRO 100 AÑOS</t>
  </si>
  <si>
    <t>Muñecos Varios Mod.</t>
  </si>
  <si>
    <t>Bastones Inflables</t>
  </si>
  <si>
    <t>Pedometro Multifunción</t>
  </si>
  <si>
    <t>Cilindro Mod-C06-0305</t>
  </si>
  <si>
    <t>Book Notas Adhesivas</t>
  </si>
  <si>
    <t>Cinturon C.R.M</t>
  </si>
  <si>
    <t>OSO TUM</t>
  </si>
  <si>
    <t>Antiestress Paramed</t>
  </si>
  <si>
    <t>Anillo P/Mascada De Plata</t>
  </si>
  <si>
    <t>Blusa P/Dama Vol. Gde</t>
  </si>
  <si>
    <t>Blusa Para Dama X</t>
  </si>
  <si>
    <t>Blusa Para Dama Xx</t>
  </si>
  <si>
    <t>Boligrafo De Lujo Dakar</t>
  </si>
  <si>
    <t>Boligrafo De Lujo Mondavi</t>
  </si>
  <si>
    <t>Blusa Para Dama Xxx</t>
  </si>
  <si>
    <t>Blusa P/Dama Vol. Med</t>
  </si>
  <si>
    <t>Blusa P/Dama Vol. Chi</t>
  </si>
  <si>
    <t>Bufanda De Seda Azul</t>
  </si>
  <si>
    <t>Bufanda De Seda Roja</t>
  </si>
  <si>
    <t>Buff Banda Multiusos</t>
  </si>
  <si>
    <t>Calculadora Flexible</t>
  </si>
  <si>
    <t>Camisola C.R.M. 44</t>
  </si>
  <si>
    <t>Camisola C.R.M. 46</t>
  </si>
  <si>
    <t>Camisola C.R.M. 48</t>
  </si>
  <si>
    <t>Alpargatas</t>
  </si>
  <si>
    <t>Casco C.R.M.</t>
  </si>
  <si>
    <t>Chaleco Dama Voluntaria</t>
  </si>
  <si>
    <t>Chaleco Gabardina C.R.M. Chi</t>
  </si>
  <si>
    <t>Chaleco Gabardina C.R.M. Exg</t>
  </si>
  <si>
    <t>Chaleco Gabardina C.R.M. Gde</t>
  </si>
  <si>
    <t>Chaleco Gabardina C.R.M. Med</t>
  </si>
  <si>
    <t>Chaleco Nylon C. R. M. Chi</t>
  </si>
  <si>
    <t>Chaleco Nylon C. R. M. Exg</t>
  </si>
  <si>
    <t>Chaleco Nylon C. R. M. Gde</t>
  </si>
  <si>
    <t>Chaleco Nylon C. R. M. Med</t>
  </si>
  <si>
    <t>Chaleco Voluntariado.</t>
  </si>
  <si>
    <t>Chamarra C.R.M. Chi</t>
  </si>
  <si>
    <t>Chamarra C.R.M. Exch</t>
  </si>
  <si>
    <t>Chamarra C.R.M. Exg</t>
  </si>
  <si>
    <t>Chamarra C.R.M. Gde</t>
  </si>
  <si>
    <t>Chamarra C.R.M. Med</t>
  </si>
  <si>
    <t>Disco Nylon Plegable Con Estuche</t>
  </si>
  <si>
    <t>Distintivos De Dama Voluntaria</t>
  </si>
  <si>
    <t>Distintivos Troquelado C.R.M.</t>
  </si>
  <si>
    <t>Gorra Azul Capacitación C.R.M.</t>
  </si>
  <si>
    <t>Gorra Rojo-Blanco Juventud C.R.M.</t>
  </si>
  <si>
    <t>Arete De Plata De Luna Y Cruz.</t>
  </si>
  <si>
    <t>Arete De Plata De Marco C/ Arillo.</t>
  </si>
  <si>
    <t>Arete De Plata De Marco C/ Poste</t>
  </si>
  <si>
    <t>Mancuernilla Planta Logo C.R.M.</t>
  </si>
  <si>
    <t>Moneda Conmemorativa 100 Años</t>
  </si>
  <si>
    <t>Pantalon Servicio Caballero C. R. M. 30</t>
  </si>
  <si>
    <t>Pantalon Servicio Caballero C. R. M. 32</t>
  </si>
  <si>
    <t>Pantalon Servicio Caballero C. R. M. 34</t>
  </si>
  <si>
    <t>Pantalon Servicio Caballero C. R. M. 36</t>
  </si>
  <si>
    <t>Pantalon Servicio Caballero C. R. M. 38</t>
  </si>
  <si>
    <t>Pantalon Servicio Caballero C. R. M. 40</t>
  </si>
  <si>
    <t>Pantalon Servicio Caballero C. R. M. 42</t>
  </si>
  <si>
    <t>Pantalon Servicio Caballero C. R. M. 44</t>
  </si>
  <si>
    <t>Pantalon Servicio Caballero C. R. M. 46</t>
  </si>
  <si>
    <t>Pantalon Servicio Caballero C. R. M. 48</t>
  </si>
  <si>
    <t>Pantalon Servicio Dama C.R.M. 11</t>
  </si>
  <si>
    <t>Pantalon Servicio Dama C.R.M. 13</t>
  </si>
  <si>
    <t>Pantalon Servicio Dama C.R.M. 5</t>
  </si>
  <si>
    <t>Pantalon Servicio Dama C.R.M. 7</t>
  </si>
  <si>
    <t>Pantalon Servicio Dama C.R.M. 9</t>
  </si>
  <si>
    <t>Base Oval Magnetica</t>
  </si>
  <si>
    <t>Playera C/Redondo Juventud Chi</t>
  </si>
  <si>
    <t>Playera C/Redondo Juventud Gde</t>
  </si>
  <si>
    <t>Playera C/Redondo Juventud Med</t>
  </si>
  <si>
    <t>Playera C/Redondo Niños Juventud Chi</t>
  </si>
  <si>
    <t>Playera C/Redondo Niños Juventud Gde</t>
  </si>
  <si>
    <t>Playera C/Redondo Niños Juventud Med</t>
  </si>
  <si>
    <t>Playera Cuello Bordado C. R. M. Chi</t>
  </si>
  <si>
    <t>Playera Cuello Bordado C. R. M. Exg</t>
  </si>
  <si>
    <t>Playera Cuello Bordado C. R. M. Gde</t>
  </si>
  <si>
    <t>Playera Cuello Bordado C. R. M. Med</t>
  </si>
  <si>
    <t>Playera Tipo Polo Alumno C.R.M. Chi</t>
  </si>
  <si>
    <t>Playera Tipo Polo Alumno C.R.M. Exg</t>
  </si>
  <si>
    <t>Playera Tipo Polo Alumno C.R.M. Gde</t>
  </si>
  <si>
    <t>Playera Tipo Polo Alumno C.R.M. Med</t>
  </si>
  <si>
    <t>Playera Tipo Polo Dama Vol. Chi</t>
  </si>
  <si>
    <t>Playera Tipo Polo Dama Vol. Gde</t>
  </si>
  <si>
    <t>Playera Tipo Polo Dama Vol. Med</t>
  </si>
  <si>
    <t>Playera Tipo Polo Promoc C.R.M. Chi</t>
  </si>
  <si>
    <t>Playera Tipo Polo Promoc C.R.M. Ex</t>
  </si>
  <si>
    <t>Playera Tipo Polo Promoc C.R.M. Gde</t>
  </si>
  <si>
    <t>Playera Tipo Polo Promoc C.R.M. Med</t>
  </si>
  <si>
    <t>Playera Tipo Polo Servicio C.R.M. Chi</t>
  </si>
  <si>
    <t>Playera Tipo Polo Servicio C.R.M. Exg</t>
  </si>
  <si>
    <t>Playera Tipo Polo Servicio C.R.M. Gde</t>
  </si>
  <si>
    <t>Playera Tipo Polo Servicio C.R.M. Med</t>
  </si>
  <si>
    <t>Pulsera Plata C/ Cadena C/ Cruz.</t>
  </si>
  <si>
    <t>Pulsera Plata Con Logo C.R.M.</t>
  </si>
  <si>
    <t>Pulsera Plata De Cruz Mediana.</t>
  </si>
  <si>
    <t>Pulsera Plata De Eslabón C/ Cruz Y Mrco.</t>
  </si>
  <si>
    <t>Sector Bordado De Alumno (A) Enfermeria</t>
  </si>
  <si>
    <t>Sector Bordado De Comunicacion</t>
  </si>
  <si>
    <t>Sector Bordado De Imagenologia</t>
  </si>
  <si>
    <t>Sector Bordado Espalda Comunicacion</t>
  </si>
  <si>
    <t>Sector Bordado Espalda De Difusion</t>
  </si>
  <si>
    <t>Sector Bordado Juventud 13-16 Avanzado</t>
  </si>
  <si>
    <t>Sector Bordado Juventud 13-16 Basico</t>
  </si>
  <si>
    <t>Sector Bordado Juventud 13-16 Intermedio</t>
  </si>
  <si>
    <t>Sector Bordado Juventud C.R.M.</t>
  </si>
  <si>
    <t>Sector Bordado Juventud Rectangular</t>
  </si>
  <si>
    <t>Sector Bordado Espalda Juventud</t>
  </si>
  <si>
    <t>Sector Refle/Tela Espalda Capacitación</t>
  </si>
  <si>
    <t>Blusa Manga 3/4 Puño Rojo. Chi</t>
  </si>
  <si>
    <t>Blusa Manga 3/4 Puño Rojo. Exg</t>
  </si>
  <si>
    <t>Sueter P/Caballero C.R.M. Chi</t>
  </si>
  <si>
    <t>Sueter P/Caballero C.R.M. Exchi</t>
  </si>
  <si>
    <t>Sueter P/Caballero C.R.M. Exg</t>
  </si>
  <si>
    <t>Sueter P/Caballero C.R.M. Gde</t>
  </si>
  <si>
    <t>Sueter P/Caballero C.R.M. Med</t>
  </si>
  <si>
    <t>Blusa Manga 3/4 Puño Rojo. Gde</t>
  </si>
  <si>
    <t>Blusa Manga 3/4 Puño Rojo. Med</t>
  </si>
  <si>
    <t>Camisola Blanca Bordado C.R.M. 46</t>
  </si>
  <si>
    <t>Sector Reflejante/Tela Rectangular CRM</t>
  </si>
  <si>
    <t>Sector Reflejante/Tela Voluntariado</t>
  </si>
  <si>
    <t>Sector Reflejante/Tela Socorros</t>
  </si>
  <si>
    <t>Sector Reflejante/Tela Espalda CRM</t>
  </si>
  <si>
    <t>Sector Reflejante/Tela Espalda Socorros</t>
  </si>
  <si>
    <t>Sector Reflejante/Tela Espalda Voluntariado</t>
  </si>
  <si>
    <t>Camisa Blanca Bordado C.R.M. 32</t>
  </si>
  <si>
    <t>Camisa Blanca Bordado C.R.M. 34</t>
  </si>
  <si>
    <t>Camisa Blanca Bordado C.R.M. 36</t>
  </si>
  <si>
    <t>Camisa Blanca Bordado C.R.M. 38</t>
  </si>
  <si>
    <t>Camisa Blanca Bordado C.R.M. 40</t>
  </si>
  <si>
    <t>Camisa Blanca Bordado C.R.M. 42</t>
  </si>
  <si>
    <t>Camisa Blanca Bordado C.R.M. 44</t>
  </si>
  <si>
    <t>Camisola Extragrande C.R.M. 52</t>
  </si>
  <si>
    <t>Camisola Extragrande C.R.M. 54</t>
  </si>
  <si>
    <t>Camisola Extragrande C.R.M. 56</t>
  </si>
  <si>
    <t>Camisola Extragrande C.R.M. 58</t>
  </si>
  <si>
    <t>Cilindro Deportivo Mod.CC-0306</t>
  </si>
  <si>
    <t>Camisola Rip-Stop de la Talla-30</t>
  </si>
  <si>
    <t>Camisola Rip-Stop de la Talla-32</t>
  </si>
  <si>
    <t>Camisola Rip-Stop de la Talla-34</t>
  </si>
  <si>
    <t>Camisola Rip-Stop de la Talla-36</t>
  </si>
  <si>
    <t>Camisola Rip-Stop de la Talla-38</t>
  </si>
  <si>
    <t>Camisola Rip-Stop de la Talla-40</t>
  </si>
  <si>
    <t>Camisola Rip-Stop de la Talla-42</t>
  </si>
  <si>
    <t>Camisola Rip-Stop de la Talla-44</t>
  </si>
  <si>
    <t>Camisola Rip-Stop de la Talla-46</t>
  </si>
  <si>
    <t>Camisola Rip-Stop de la Talla-48</t>
  </si>
  <si>
    <t>Camisola Rip-Stop de la Talla-50</t>
  </si>
  <si>
    <t>Chaleco Rojo Mod-2015 Talla-Exch</t>
  </si>
  <si>
    <t>Chaleco Rojo Mod-2015 Talla-Ch</t>
  </si>
  <si>
    <t>Chaleco Rojo Mod-2015 Talla-Med</t>
  </si>
  <si>
    <t>Chaleco Rojo Mod-2015 Talla-Gde</t>
  </si>
  <si>
    <t>Chaleco Rojo Mod-2015 Talla-Exgde</t>
  </si>
  <si>
    <t>Playera Principios Fundamentales</t>
  </si>
  <si>
    <t>Pulsera De Perla Cultivada Color Mate, Con Casquilla En Plata, Cruz De Plata Y Resina</t>
  </si>
  <si>
    <t>Pulsera De Perla Cultivada Color Mate Y Swarovski, Liga Interior, Cruz De Plata .925</t>
  </si>
  <si>
    <t>Pulsera De Perla Cultivada Color Mate, Con Aplicaciones Rojas De Swarovski Y Cruz De Plata .925 Y Resina</t>
  </si>
  <si>
    <t>Pulsera De Perla Cultivada Color Mate, Con Liga, Cruz De Plata .925</t>
  </si>
  <si>
    <t>Collar De Perla Cultivada Color Mate, Con Cruz De Plata .925 Y Broche</t>
  </si>
  <si>
    <t>Sector Refle/tela Espalda Prevención</t>
  </si>
  <si>
    <t>Sector Refle/Tela Espalda Capacitacion</t>
  </si>
  <si>
    <t>Sector Refle/Tela de Alumno (V) Paramedico</t>
  </si>
  <si>
    <t>Porta Tarjetas duro Mod.1633</t>
  </si>
  <si>
    <t>Parasol Frutal C/Gomas Medidas 120 x 60 cms</t>
  </si>
  <si>
    <t>Sector Refle/Tela Restablecimiento</t>
  </si>
  <si>
    <t>Sector Refle/Tela Espalda Restablecimiento</t>
  </si>
  <si>
    <t>Sector Refle/Tela Servicios Medicos</t>
  </si>
  <si>
    <t>LIBRO 50 Convencion pasta rustica</t>
  </si>
  <si>
    <t>Playera blanca prevención para dama c / leyenda.</t>
  </si>
  <si>
    <t>Playera Blanca Prevención Para Caballero C / Leyenda</t>
  </si>
  <si>
    <t>Soporte Para Celular C/ Base Plegable</t>
  </si>
  <si>
    <t>Descripcion</t>
  </si>
  <si>
    <t>Clave</t>
  </si>
  <si>
    <t>Articulo</t>
  </si>
  <si>
    <t>Observaciones</t>
  </si>
  <si>
    <t>Precio por unidad</t>
  </si>
  <si>
    <t>DELEGACION / SUBDELEGACION</t>
  </si>
  <si>
    <t>Estado:</t>
  </si>
  <si>
    <t>Distintivo C.R.M. con Resina Roja</t>
  </si>
  <si>
    <t>Pulsera De Perla Cultivada Color Mate, Con Casquilla En Plata, Cruz De Plata Y R</t>
  </si>
  <si>
    <t>Pulsera De Perla Cultivada Color Mate Y Sharosk, Liga Interior, Cruz De Plata</t>
  </si>
  <si>
    <t xml:space="preserve">Pulsera De Perla Cultivada Color Mate, Con Aplicaciones Rojas De Sharosk Y Cruz </t>
  </si>
  <si>
    <t>Pulsera De Perla Cultivada Color Mate, Con Liga, Cruz De Plata</t>
  </si>
  <si>
    <t>Collar De Perla Cultivada Color Mate, Con Cruz De Plata Y Broche</t>
  </si>
  <si>
    <t xml:space="preserve">Porta Tarjetas duro Mod.1633 </t>
  </si>
  <si>
    <t xml:space="preserve">Playera Blanca Prevención Para Dama C/Leyenda. </t>
  </si>
  <si>
    <t>Playera Blanca Prevención Para Caballero C/Leyenda</t>
  </si>
  <si>
    <t>Boligrafo Smile Hand</t>
  </si>
  <si>
    <t>tipo</t>
  </si>
  <si>
    <t>Promocional</t>
  </si>
  <si>
    <t>Uniformes</t>
  </si>
  <si>
    <t>Bolígrafo Smile Hand</t>
  </si>
  <si>
    <t xml:space="preserve">Sudadera roja con logo </t>
  </si>
  <si>
    <t>Sudadera Roja con logo</t>
  </si>
  <si>
    <t>Sector Refle/Tela de Alumno (A) Enfermería</t>
  </si>
  <si>
    <t>Sector Refle/Tela de Alumno (A) Enfermería </t>
  </si>
  <si>
    <t>Porta Plumas Zarata</t>
  </si>
  <si>
    <t>Llavero Wiki</t>
  </si>
  <si>
    <t>Gel A. Ketzi</t>
  </si>
  <si>
    <t>Bolígrafo Porta Cel y Camara</t>
  </si>
  <si>
    <t>Cilindro Tribec</t>
  </si>
  <si>
    <t>Pastillero Delta</t>
  </si>
  <si>
    <t>Toallitas Húmedas Salus</t>
  </si>
  <si>
    <t>Set Sindey</t>
  </si>
  <si>
    <t>Pisa Papales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</si>
</sst>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@\ \ "/>
    <numFmt numFmtId="167" formatCode="dd/mm/yyyy;@"/>
  </numFmts>
  <fonts count="34" x14ac:knownFonts="1">
    <font>
      <sz val="10"/>
      <name val="Arial"/>
    </font>
    <font>
      <sz val="10"/>
      <name val="Arial"/>
      <family val="2"/>
    </font>
    <font>
      <b/>
      <sz val="18"/>
      <name val="Arial"/>
      <family val="2"/>
    </font>
    <font>
      <sz val="28"/>
      <color indexed="42"/>
      <name val="Arial Black"/>
      <family val="2"/>
    </font>
    <font>
      <b/>
      <i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i/>
      <sz val="13"/>
      <color indexed="16"/>
      <name val="Arial"/>
      <family val="2"/>
    </font>
    <font>
      <b/>
      <sz val="11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b/>
      <sz val="8"/>
      <color theme="0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9"/>
      <color indexed="81"/>
      <name val="Comic Sans MS"/>
      <family val="4"/>
    </font>
    <font>
      <i/>
      <sz val="9"/>
      <color indexed="81"/>
      <name val="Comic Sans MS"/>
      <family val="4"/>
    </font>
    <font>
      <sz val="11"/>
      <name val="Courier New"/>
      <family val="3"/>
    </font>
    <font>
      <sz val="14"/>
      <color rgb="FF000000"/>
      <name val="Verdana"/>
      <family val="2"/>
    </font>
    <font>
      <sz val="14"/>
      <name val="Verdana"/>
      <family val="2"/>
    </font>
    <font>
      <sz val="12"/>
      <color rgb="FF000000"/>
      <name val="Verdana"/>
      <family val="2"/>
    </font>
    <font>
      <b/>
      <sz val="14"/>
      <color rgb="FF000000"/>
      <name val="Arial"/>
      <family val="2"/>
    </font>
    <font>
      <b/>
      <sz val="12"/>
      <color rgb="FF333300"/>
      <name val="Calibri"/>
      <family val="2"/>
    </font>
    <font>
      <b/>
      <sz val="11"/>
      <color rgb="FF800000"/>
      <name val="Arial"/>
      <family val="2"/>
    </font>
    <font>
      <b/>
      <sz val="12"/>
      <color rgb="FF000000"/>
      <name val="Calibri"/>
      <family val="2"/>
    </font>
    <font>
      <b/>
      <sz val="12"/>
      <color rgb="FF003366"/>
      <name val="Calibri"/>
      <family val="2"/>
    </font>
    <font>
      <sz val="8"/>
      <color theme="0"/>
      <name val="Arial"/>
      <family val="2"/>
    </font>
    <font>
      <b/>
      <sz val="12"/>
      <color rgb="FF808000"/>
      <name val="Calibri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9.9978637043366805E-2"/>
        <bgColor indexed="2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ck">
        <color indexed="21"/>
      </top>
      <bottom/>
      <diagonal/>
    </border>
    <border>
      <left/>
      <right style="thin">
        <color indexed="21"/>
      </right>
      <top style="thick">
        <color indexed="2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0" xfId="0" applyProtection="1"/>
    <xf numFmtId="0" fontId="2" fillId="0" borderId="0" xfId="0" applyFont="1" applyProtection="1"/>
    <xf numFmtId="0" fontId="4" fillId="0" borderId="0" xfId="0" applyFont="1" applyProtection="1"/>
    <xf numFmtId="0" fontId="5" fillId="0" borderId="0" xfId="0" applyFont="1" applyProtection="1"/>
    <xf numFmtId="0" fontId="3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6" fillId="0" borderId="3" xfId="0" applyFont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166" fontId="5" fillId="0" borderId="0" xfId="0" applyNumberFormat="1" applyFont="1" applyAlignment="1" applyProtection="1">
      <alignment horizontal="right" vertical="center"/>
    </xf>
    <xf numFmtId="0" fontId="10" fillId="0" borderId="0" xfId="0" applyFont="1" applyProtection="1"/>
    <xf numFmtId="0" fontId="0" fillId="0" borderId="0" xfId="0" applyAlignment="1" applyProtection="1">
      <alignment horizontal="left" vertical="center"/>
    </xf>
    <xf numFmtId="166" fontId="0" fillId="0" borderId="0" xfId="0" applyNumberFormat="1" applyAlignment="1" applyProtection="1">
      <alignment horizontal="right" vertical="center"/>
    </xf>
    <xf numFmtId="0" fontId="0" fillId="2" borderId="0" xfId="0" applyFill="1" applyProtection="1"/>
    <xf numFmtId="0" fontId="5" fillId="0" borderId="0" xfId="0" applyFont="1" applyAlignment="1" applyProtection="1">
      <alignment vertical="center"/>
    </xf>
    <xf numFmtId="0" fontId="12" fillId="4" borderId="0" xfId="0" applyFont="1" applyFill="1" applyBorder="1" applyAlignment="1" applyProtection="1">
      <alignment horizontal="center"/>
    </xf>
    <xf numFmtId="0" fontId="12" fillId="5" borderId="0" xfId="0" applyFont="1" applyFill="1" applyBorder="1" applyAlignment="1" applyProtection="1">
      <alignment horizontal="center"/>
    </xf>
    <xf numFmtId="0" fontId="13" fillId="2" borderId="0" xfId="0" applyFont="1" applyFill="1" applyBorder="1" applyProtection="1"/>
    <xf numFmtId="0" fontId="13" fillId="2" borderId="0" xfId="0" applyFont="1" applyFill="1" applyBorder="1" applyAlignment="1" applyProtection="1">
      <alignment horizontal="center"/>
    </xf>
    <xf numFmtId="0" fontId="12" fillId="2" borderId="0" xfId="0" applyFont="1" applyFill="1" applyBorder="1" applyProtection="1"/>
    <xf numFmtId="0" fontId="12" fillId="2" borderId="0" xfId="0" applyFont="1" applyFill="1" applyBorder="1" applyAlignment="1" applyProtection="1">
      <alignment horizontal="left"/>
    </xf>
    <xf numFmtId="164" fontId="14" fillId="6" borderId="8" xfId="0" applyNumberFormat="1" applyFont="1" applyFill="1" applyBorder="1" applyAlignment="1" applyProtection="1">
      <alignment horizontal="left" vertical="center"/>
    </xf>
    <xf numFmtId="164" fontId="14" fillId="6" borderId="1" xfId="0" applyNumberFormat="1" applyFont="1" applyFill="1" applyBorder="1" applyAlignment="1" applyProtection="1">
      <alignment horizontal="left" vertical="center"/>
    </xf>
    <xf numFmtId="0" fontId="16" fillId="0" borderId="0" xfId="0" applyFont="1" applyFill="1" applyBorder="1" applyProtection="1"/>
    <xf numFmtId="166" fontId="6" fillId="0" borderId="0" xfId="0" applyNumberFormat="1" applyFont="1" applyAlignment="1" applyProtection="1">
      <alignment horizontal="right" vertical="center"/>
    </xf>
    <xf numFmtId="165" fontId="14" fillId="0" borderId="9" xfId="0" applyNumberFormat="1" applyFont="1" applyBorder="1" applyAlignment="1" applyProtection="1">
      <alignment horizontal="left" vertical="center"/>
      <protection locked="0"/>
    </xf>
    <xf numFmtId="0" fontId="17" fillId="0" borderId="0" xfId="0" applyFont="1" applyProtection="1"/>
    <xf numFmtId="0" fontId="0" fillId="0" borderId="0" xfId="0" applyFill="1" applyBorder="1" applyProtection="1"/>
    <xf numFmtId="0" fontId="18" fillId="0" borderId="0" xfId="0" applyFont="1" applyProtection="1"/>
    <xf numFmtId="49" fontId="15" fillId="2" borderId="0" xfId="0" applyNumberFormat="1" applyFont="1" applyFill="1" applyBorder="1" applyAlignment="1" applyProtection="1">
      <alignment horizontal="center"/>
    </xf>
    <xf numFmtId="0" fontId="2" fillId="2" borderId="0" xfId="0" applyFont="1" applyFill="1" applyBorder="1" applyProtection="1"/>
    <xf numFmtId="164" fontId="14" fillId="0" borderId="0" xfId="0" applyNumberFormat="1" applyFont="1" applyBorder="1" applyAlignment="1" applyProtection="1">
      <alignment vertical="center"/>
      <protection hidden="1"/>
    </xf>
    <xf numFmtId="164" fontId="14" fillId="0" borderId="7" xfId="0" applyNumberFormat="1" applyFont="1" applyBorder="1" applyAlignment="1" applyProtection="1">
      <alignment vertical="center"/>
      <protection hidden="1"/>
    </xf>
    <xf numFmtId="0" fontId="0" fillId="2" borderId="0" xfId="0" applyFill="1" applyBorder="1" applyProtection="1"/>
    <xf numFmtId="0" fontId="1" fillId="0" borderId="0" xfId="0" applyFont="1" applyProtection="1">
      <protection hidden="1"/>
    </xf>
    <xf numFmtId="0" fontId="1" fillId="0" borderId="9" xfId="0" applyFont="1" applyBorder="1" applyProtection="1">
      <protection hidden="1"/>
    </xf>
    <xf numFmtId="0" fontId="1" fillId="0" borderId="14" xfId="0" applyFont="1" applyFill="1" applyBorder="1" applyAlignment="1" applyProtection="1">
      <alignment shrinkToFit="1"/>
      <protection hidden="1"/>
    </xf>
    <xf numFmtId="0" fontId="1" fillId="0" borderId="3" xfId="0" applyFont="1" applyFill="1" applyBorder="1" applyAlignment="1" applyProtection="1">
      <alignment shrinkToFit="1"/>
      <protection hidden="1"/>
    </xf>
    <xf numFmtId="0" fontId="5" fillId="7" borderId="0" xfId="0" applyFont="1" applyFill="1" applyProtection="1"/>
    <xf numFmtId="0" fontId="13" fillId="0" borderId="0" xfId="0" applyFont="1" applyAlignment="1" applyProtection="1">
      <alignment vertical="center"/>
    </xf>
    <xf numFmtId="0" fontId="5" fillId="0" borderId="0" xfId="0" applyFont="1" applyAlignment="1" applyProtection="1">
      <alignment horizontal="right" vertical="top"/>
    </xf>
    <xf numFmtId="0" fontId="9" fillId="0" borderId="0" xfId="0" applyFont="1" applyProtection="1"/>
    <xf numFmtId="0" fontId="14" fillId="0" borderId="0" xfId="0" applyFont="1" applyProtection="1"/>
    <xf numFmtId="0" fontId="21" fillId="0" borderId="7" xfId="0" applyFont="1" applyBorder="1" applyAlignment="1" applyProtection="1">
      <alignment horizontal="left" vertical="center"/>
    </xf>
    <xf numFmtId="0" fontId="5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167" fontId="6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center" vertical="center"/>
    </xf>
    <xf numFmtId="0" fontId="5" fillId="0" borderId="14" xfId="0" applyFont="1" applyFill="1" applyBorder="1" applyAlignment="1" applyProtection="1">
      <alignment horizontal="center" vertical="center"/>
    </xf>
    <xf numFmtId="0" fontId="6" fillId="0" borderId="14" xfId="0" applyFont="1" applyFill="1" applyBorder="1" applyAlignment="1" applyProtection="1">
      <alignment horizontal="center" vertical="center"/>
    </xf>
    <xf numFmtId="0" fontId="23" fillId="2" borderId="0" xfId="0" applyNumberFormat="1" applyFont="1" applyFill="1" applyProtection="1"/>
    <xf numFmtId="0" fontId="23" fillId="2" borderId="0" xfId="0" applyFont="1" applyFill="1" applyProtection="1"/>
    <xf numFmtId="0" fontId="22" fillId="0" borderId="0" xfId="0" applyFont="1" applyFill="1" applyBorder="1" applyAlignment="1" applyProtection="1"/>
    <xf numFmtId="0" fontId="22" fillId="0" borderId="0" xfId="0" applyFont="1" applyBorder="1"/>
    <xf numFmtId="2" fontId="24" fillId="0" borderId="0" xfId="0" applyNumberFormat="1" applyFont="1" applyFill="1" applyBorder="1" applyAlignment="1" applyProtection="1"/>
    <xf numFmtId="0" fontId="13" fillId="2" borderId="0" xfId="0" applyFont="1" applyFill="1" applyBorder="1" applyAlignment="1" applyProtection="1">
      <alignment horizontal="left" indent="1"/>
    </xf>
    <xf numFmtId="0" fontId="18" fillId="0" borderId="0" xfId="0" applyFont="1" applyFill="1" applyProtection="1"/>
    <xf numFmtId="0" fontId="30" fillId="0" borderId="0" xfId="0" applyFont="1" applyFill="1" applyBorder="1" applyProtection="1"/>
    <xf numFmtId="167" fontId="14" fillId="8" borderId="0" xfId="0" applyNumberFormat="1" applyFont="1" applyFill="1" applyAlignment="1" applyProtection="1">
      <alignment horizontal="center" shrinkToFit="1"/>
      <protection locked="0"/>
    </xf>
    <xf numFmtId="0" fontId="5" fillId="8" borderId="0" xfId="0" applyFont="1" applyFill="1" applyProtection="1">
      <protection locked="0"/>
    </xf>
    <xf numFmtId="0" fontId="14" fillId="8" borderId="0" xfId="0" applyFont="1" applyFill="1" applyAlignment="1" applyProtection="1">
      <alignment horizontal="center" shrinkToFit="1"/>
      <protection locked="0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</xf>
    <xf numFmtId="0" fontId="5" fillId="11" borderId="1" xfId="0" applyFont="1" applyFill="1" applyBorder="1" applyAlignment="1" applyProtection="1">
      <alignment horizontal="center" vertical="center"/>
    </xf>
    <xf numFmtId="0" fontId="5" fillId="11" borderId="4" xfId="0" applyFont="1" applyFill="1" applyBorder="1" applyAlignment="1" applyProtection="1">
      <alignment horizontal="center" vertical="center"/>
    </xf>
    <xf numFmtId="0" fontId="5" fillId="11" borderId="1" xfId="0" applyFont="1" applyFill="1" applyBorder="1" applyAlignment="1" applyProtection="1">
      <alignment horizontal="center" vertical="center" wrapText="1"/>
    </xf>
    <xf numFmtId="1" fontId="13" fillId="11" borderId="1" xfId="0" applyNumberFormat="1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vertical="center"/>
      <protection locked="0"/>
    </xf>
    <xf numFmtId="0" fontId="13" fillId="11" borderId="10" xfId="0" applyFont="1" applyFill="1" applyBorder="1" applyAlignment="1" applyProtection="1">
      <alignment vertical="center"/>
    </xf>
    <xf numFmtId="0" fontId="13" fillId="11" borderId="0" xfId="0" applyFont="1" applyFill="1" applyBorder="1" applyAlignment="1" applyProtection="1">
      <alignment vertical="center"/>
      <protection locked="0"/>
    </xf>
    <xf numFmtId="0" fontId="13" fillId="11" borderId="0" xfId="0" applyFont="1" applyFill="1" applyBorder="1" applyAlignment="1" applyProtection="1">
      <alignment vertical="center"/>
    </xf>
    <xf numFmtId="0" fontId="13" fillId="11" borderId="0" xfId="0" applyFont="1" applyFill="1" applyBorder="1" applyAlignment="1" applyProtection="1">
      <alignment horizontal="left" vertical="center"/>
      <protection locked="0"/>
    </xf>
    <xf numFmtId="0" fontId="13" fillId="11" borderId="0" xfId="0" applyFont="1" applyFill="1" applyBorder="1" applyAlignment="1" applyProtection="1">
      <alignment horizontal="left" vertical="center"/>
    </xf>
    <xf numFmtId="0" fontId="13" fillId="11" borderId="7" xfId="0" applyFont="1" applyFill="1" applyBorder="1" applyAlignment="1" applyProtection="1">
      <alignment vertical="center"/>
      <protection locked="0"/>
    </xf>
    <xf numFmtId="0" fontId="13" fillId="11" borderId="7" xfId="0" applyFont="1" applyFill="1" applyBorder="1" applyAlignment="1" applyProtection="1">
      <alignment vertical="center"/>
    </xf>
    <xf numFmtId="1" fontId="14" fillId="11" borderId="8" xfId="0" applyNumberFormat="1" applyFont="1" applyFill="1" applyBorder="1" applyAlignment="1" applyProtection="1">
      <alignment horizontal="center" vertical="center"/>
      <protection locked="0"/>
    </xf>
    <xf numFmtId="0" fontId="8" fillId="12" borderId="11" xfId="0" applyFont="1" applyFill="1" applyBorder="1" applyAlignment="1" applyProtection="1"/>
    <xf numFmtId="0" fontId="8" fillId="12" borderId="11" xfId="0" applyFont="1" applyFill="1" applyBorder="1" applyAlignment="1" applyProtection="1">
      <alignment horizontal="center"/>
    </xf>
    <xf numFmtId="0" fontId="8" fillId="12" borderId="12" xfId="0" applyFont="1" applyFill="1" applyBorder="1" applyAlignment="1" applyProtection="1">
      <alignment horizontal="center" wrapText="1"/>
    </xf>
    <xf numFmtId="0" fontId="0" fillId="10" borderId="0" xfId="0" applyFill="1" applyProtection="1"/>
    <xf numFmtId="0" fontId="0" fillId="10" borderId="0" xfId="0" applyFill="1" applyBorder="1" applyProtection="1"/>
    <xf numFmtId="0" fontId="1" fillId="2" borderId="0" xfId="0" applyFont="1" applyFill="1" applyProtection="1"/>
    <xf numFmtId="0" fontId="16" fillId="0" borderId="0" xfId="0" applyFont="1" applyFill="1" applyBorder="1" applyAlignment="1" applyProtection="1">
      <alignment horizontal="left"/>
    </xf>
    <xf numFmtId="0" fontId="32" fillId="0" borderId="0" xfId="0" applyFont="1" applyProtection="1"/>
    <xf numFmtId="0" fontId="16" fillId="0" borderId="0" xfId="0" applyNumberFormat="1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left"/>
    </xf>
    <xf numFmtId="0" fontId="18" fillId="0" borderId="0" xfId="0" applyNumberFormat="1" applyFont="1" applyAlignment="1" applyProtection="1">
      <alignment horizontal="left"/>
    </xf>
    <xf numFmtId="0" fontId="33" fillId="0" borderId="0" xfId="0" applyFont="1" applyAlignment="1" applyProtection="1">
      <alignment horizontal="center"/>
    </xf>
    <xf numFmtId="0" fontId="5" fillId="9" borderId="15" xfId="0" applyFont="1" applyFill="1" applyBorder="1" applyAlignment="1" applyProtection="1">
      <alignment horizontal="left" vertical="top" wrapText="1"/>
      <protection locked="0"/>
    </xf>
    <xf numFmtId="0" fontId="5" fillId="9" borderId="10" xfId="0" applyFont="1" applyFill="1" applyBorder="1" applyAlignment="1" applyProtection="1">
      <alignment horizontal="left" vertical="top" wrapText="1"/>
      <protection locked="0"/>
    </xf>
    <xf numFmtId="0" fontId="5" fillId="9" borderId="13" xfId="0" applyFont="1" applyFill="1" applyBorder="1" applyAlignment="1" applyProtection="1">
      <alignment horizontal="left" vertical="top" wrapText="1"/>
      <protection locked="0"/>
    </xf>
    <xf numFmtId="0" fontId="5" fillId="9" borderId="3" xfId="0" applyFont="1" applyFill="1" applyBorder="1" applyAlignment="1" applyProtection="1">
      <alignment horizontal="left" vertical="top" wrapText="1"/>
      <protection locked="0"/>
    </xf>
    <xf numFmtId="0" fontId="5" fillId="9" borderId="7" xfId="0" applyFont="1" applyFill="1" applyBorder="1" applyAlignment="1" applyProtection="1">
      <alignment horizontal="left" vertical="top" wrapText="1"/>
      <protection locked="0"/>
    </xf>
    <xf numFmtId="0" fontId="5" fillId="9" borderId="6" xfId="0" applyFont="1" applyFill="1" applyBorder="1" applyAlignment="1" applyProtection="1">
      <alignment horizontal="left" vertical="top" wrapText="1"/>
      <protection locked="0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4" xfId="0" applyFont="1" applyFill="1" applyBorder="1" applyAlignment="1" applyProtection="1">
      <alignment horizontal="center" vertical="center"/>
    </xf>
    <xf numFmtId="0" fontId="5" fillId="11" borderId="2" xfId="0" applyFont="1" applyFill="1" applyBorder="1" applyAlignment="1" applyProtection="1">
      <alignment horizontal="center" vertical="center"/>
    </xf>
    <xf numFmtId="0" fontId="14" fillId="8" borderId="0" xfId="0" applyFont="1" applyFill="1" applyAlignment="1" applyProtection="1">
      <alignment horizontal="center" shrinkToFit="1"/>
      <protection locked="0"/>
    </xf>
    <xf numFmtId="0" fontId="12" fillId="3" borderId="0" xfId="0" applyFont="1" applyFill="1" applyBorder="1" applyAlignment="1" applyProtection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8E4E8"/>
      <rgbColor rgb="00FFFF99"/>
      <rgbColor rgb="0099CCFF"/>
      <rgbColor rgb="00EAEAEA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999"/>
      <color rgb="FFD1DF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19050</xdr:rowOff>
    </xdr:from>
    <xdr:to>
      <xdr:col>1</xdr:col>
      <xdr:colOff>47625</xdr:colOff>
      <xdr:row>1</xdr:row>
      <xdr:rowOff>114300</xdr:rowOff>
    </xdr:to>
    <xdr:pic>
      <xdr:nvPicPr>
        <xdr:cNvPr id="1434" name="Picture 2" descr="logoCRM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750" r="17857"/>
        <a:stretch>
          <a:fillRect/>
        </a:stretch>
      </xdr:blipFill>
      <xdr:spPr bwMode="auto">
        <a:xfrm>
          <a:off x="57150" y="19050"/>
          <a:ext cx="65722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447675</xdr:colOff>
          <xdr:row>21</xdr:row>
          <xdr:rowOff>161925</xdr:rowOff>
        </xdr:from>
        <xdr:to>
          <xdr:col>3</xdr:col>
          <xdr:colOff>342900</xdr:colOff>
          <xdr:row>23</xdr:row>
          <xdr:rowOff>28575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Lista de productos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1085850</xdr:colOff>
          <xdr:row>21</xdr:row>
          <xdr:rowOff>133350</xdr:rowOff>
        </xdr:from>
        <xdr:to>
          <xdr:col>5</xdr:col>
          <xdr:colOff>381000</xdr:colOff>
          <xdr:row>23</xdr:row>
          <xdr:rowOff>76200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333300"/>
                  </a:solidFill>
                  <a:latin typeface="Calibri"/>
                  <a:cs typeface="Calibri"/>
                </a:rPr>
                <a:t>Imprimir Orden de 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21</xdr:row>
          <xdr:rowOff>161925</xdr:rowOff>
        </xdr:from>
        <xdr:to>
          <xdr:col>7</xdr:col>
          <xdr:colOff>828675</xdr:colOff>
          <xdr:row>23</xdr:row>
          <xdr:rowOff>28575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Referencias Bancarias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66675</xdr:rowOff>
        </xdr:from>
        <xdr:to>
          <xdr:col>1</xdr:col>
          <xdr:colOff>1162050</xdr:colOff>
          <xdr:row>2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Ir a Orden de Compra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2305050</xdr:colOff>
          <xdr:row>0</xdr:row>
          <xdr:rowOff>76200</xdr:rowOff>
        </xdr:from>
        <xdr:to>
          <xdr:col>3</xdr:col>
          <xdr:colOff>1905000</xdr:colOff>
          <xdr:row>2</xdr:row>
          <xdr:rowOff>104775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Lista de Artículo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66675</xdr:rowOff>
        </xdr:from>
        <xdr:to>
          <xdr:col>5</xdr:col>
          <xdr:colOff>400050</xdr:colOff>
          <xdr:row>2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Regresar a Orden de Compra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384"/>
  <sheetViews>
    <sheetView showGridLines="0" tabSelected="1" zoomScale="96" zoomScaleNormal="96" workbookViewId="0">
      <selection activeCell="D8" sqref="D8"/>
    </sheetView>
  </sheetViews>
  <sheetFormatPr baseColWidth="10" defaultColWidth="9.140625" defaultRowHeight="12.75" x14ac:dyDescent="0.2"/>
  <cols>
    <col min="1" max="1" width="10" style="28" customWidth="1"/>
    <col min="2" max="2" width="36.28515625" style="28" customWidth="1"/>
    <col min="3" max="3" width="34" style="28" bestFit="1" customWidth="1"/>
    <col min="4" max="4" width="17.140625" style="28" bestFit="1" customWidth="1"/>
    <col min="5" max="5" width="18.42578125" style="28" customWidth="1"/>
    <col min="6" max="6" width="14.7109375" style="28" customWidth="1"/>
    <col min="7" max="7" width="11.7109375" style="28" customWidth="1"/>
    <col min="8" max="8" width="14.140625" style="26" customWidth="1"/>
    <col min="9" max="11" width="9.140625" style="26"/>
    <col min="12" max="16384" width="9.140625" style="1"/>
  </cols>
  <sheetData>
    <row r="1" spans="1:8" s="1" customFormat="1" ht="42.75" x14ac:dyDescent="0.8">
      <c r="B1" s="2" t="s">
        <v>6</v>
      </c>
      <c r="C1" s="2"/>
      <c r="D1" s="2"/>
      <c r="H1" s="5" t="s">
        <v>10</v>
      </c>
    </row>
    <row r="2" spans="1:8" s="1" customFormat="1" x14ac:dyDescent="0.2">
      <c r="B2" s="3"/>
      <c r="C2" s="3"/>
    </row>
    <row r="3" spans="1:8" s="1" customFormat="1" x14ac:dyDescent="0.2">
      <c r="A3" s="3" t="s">
        <v>599</v>
      </c>
    </row>
    <row r="4" spans="1:8" s="1" customFormat="1" x14ac:dyDescent="0.2">
      <c r="A4" s="1" t="s">
        <v>600</v>
      </c>
    </row>
    <row r="5" spans="1:8" s="1" customFormat="1" x14ac:dyDescent="0.2">
      <c r="A5" s="1" t="s">
        <v>5</v>
      </c>
    </row>
    <row r="6" spans="1:8" s="1" customFormat="1" x14ac:dyDescent="0.2">
      <c r="A6" s="1" t="s">
        <v>12</v>
      </c>
    </row>
    <row r="7" spans="1:8" s="1" customFormat="1" ht="21.75" customHeight="1" x14ac:dyDescent="0.2"/>
    <row r="8" spans="1:8" s="1" customFormat="1" ht="15" x14ac:dyDescent="0.25">
      <c r="A8" s="4"/>
      <c r="B8" s="38"/>
      <c r="C8" s="41" t="s">
        <v>601</v>
      </c>
      <c r="D8" s="58"/>
    </row>
    <row r="9" spans="1:8" s="1" customFormat="1" ht="21.75" customHeight="1" x14ac:dyDescent="0.2">
      <c r="C9" s="42"/>
    </row>
    <row r="10" spans="1:8" s="1" customFormat="1" ht="15" x14ac:dyDescent="0.25">
      <c r="A10" s="41" t="s">
        <v>13</v>
      </c>
      <c r="B10" s="59"/>
      <c r="C10" s="41" t="s">
        <v>14</v>
      </c>
      <c r="D10" s="97"/>
      <c r="E10" s="97"/>
      <c r="G10" s="4"/>
    </row>
    <row r="11" spans="1:8" s="1" customFormat="1" ht="15" x14ac:dyDescent="0.25">
      <c r="C11" s="41" t="s">
        <v>556</v>
      </c>
      <c r="D11" s="97"/>
      <c r="E11" s="97"/>
    </row>
    <row r="12" spans="1:8" s="1" customFormat="1" ht="15" x14ac:dyDescent="0.25">
      <c r="C12" s="41" t="s">
        <v>898</v>
      </c>
      <c r="D12" s="97"/>
      <c r="E12" s="97"/>
    </row>
    <row r="13" spans="1:8" s="1" customFormat="1" ht="15" x14ac:dyDescent="0.25">
      <c r="C13" s="41" t="s">
        <v>15</v>
      </c>
      <c r="D13" s="97"/>
      <c r="E13" s="97"/>
    </row>
    <row r="14" spans="1:8" s="1" customFormat="1" ht="15" x14ac:dyDescent="0.25">
      <c r="C14" s="41" t="s">
        <v>0</v>
      </c>
      <c r="D14" s="97"/>
      <c r="E14" s="97"/>
    </row>
    <row r="15" spans="1:8" s="1" customFormat="1" ht="15" x14ac:dyDescent="0.25">
      <c r="C15" s="41" t="s">
        <v>553</v>
      </c>
      <c r="D15" s="97"/>
      <c r="E15" s="97"/>
    </row>
    <row r="16" spans="1:8" s="1" customFormat="1" ht="15" x14ac:dyDescent="0.25">
      <c r="C16" s="41" t="s">
        <v>554</v>
      </c>
      <c r="D16" s="97"/>
      <c r="E16" s="97"/>
    </row>
    <row r="17" spans="1:8" s="1" customFormat="1" ht="15" x14ac:dyDescent="0.25">
      <c r="C17" s="41" t="s">
        <v>555</v>
      </c>
      <c r="D17" s="60"/>
    </row>
    <row r="18" spans="1:8" s="1" customFormat="1" x14ac:dyDescent="0.2"/>
    <row r="19" spans="1:8" s="1" customFormat="1" ht="12" customHeight="1" x14ac:dyDescent="0.2"/>
    <row r="20" spans="1:8" s="1" customFormat="1" ht="25.5" customHeight="1" x14ac:dyDescent="0.2">
      <c r="B20" s="40" t="s">
        <v>602</v>
      </c>
      <c r="C20" s="88"/>
      <c r="D20" s="89"/>
      <c r="E20" s="90"/>
      <c r="F20" s="6"/>
      <c r="G20" s="6"/>
      <c r="H20" s="6"/>
    </row>
    <row r="21" spans="1:8" s="1" customFormat="1" ht="27" customHeight="1" x14ac:dyDescent="0.2">
      <c r="A21" s="4"/>
      <c r="B21" s="4"/>
      <c r="C21" s="91"/>
      <c r="D21" s="92"/>
      <c r="E21" s="93"/>
    </row>
    <row r="22" spans="1:8" s="8" customFormat="1" ht="20.100000000000001" customHeight="1" x14ac:dyDescent="0.2">
      <c r="A22" s="61"/>
      <c r="B22" s="62" t="s">
        <v>19</v>
      </c>
      <c r="C22" s="48"/>
      <c r="D22" s="44"/>
      <c r="E22" s="44"/>
      <c r="F22" s="44"/>
      <c r="G22" s="44"/>
      <c r="H22" s="44"/>
    </row>
    <row r="23" spans="1:8" s="8" customFormat="1" ht="20.100000000000001" customHeight="1" x14ac:dyDescent="0.2">
      <c r="A23" s="7"/>
      <c r="B23" s="43" t="s">
        <v>16</v>
      </c>
      <c r="C23" s="49"/>
      <c r="D23" s="46"/>
      <c r="E23" s="45"/>
      <c r="F23" s="45"/>
      <c r="G23" s="45"/>
      <c r="H23" s="47"/>
    </row>
    <row r="24" spans="1:8" s="1" customFormat="1" ht="20.25" customHeight="1" x14ac:dyDescent="0.2"/>
    <row r="25" spans="1:8" s="8" customFormat="1" ht="27" customHeight="1" x14ac:dyDescent="0.2">
      <c r="A25" s="63" t="s">
        <v>7</v>
      </c>
      <c r="B25" s="64" t="s">
        <v>8</v>
      </c>
      <c r="C25" s="94" t="s">
        <v>17</v>
      </c>
      <c r="D25" s="95"/>
      <c r="E25" s="96"/>
      <c r="F25" s="65" t="s">
        <v>9</v>
      </c>
      <c r="G25" s="61" t="s">
        <v>1</v>
      </c>
      <c r="H25" s="63" t="s">
        <v>4</v>
      </c>
    </row>
    <row r="26" spans="1:8" s="8" customFormat="1" ht="20.100000000000001" customHeight="1" x14ac:dyDescent="0.2">
      <c r="A26" s="75">
        <v>0</v>
      </c>
      <c r="B26" s="34" t="str">
        <f>IFERROR(VLOOKUP(A26,$B$73:$E$378,2,0),"No Existe Producto")</f>
        <v>NINGUNO</v>
      </c>
      <c r="C26" s="36" t="str">
        <f>IFERROR(VLOOKUP(A26,$B$73:$E$378,3,0),"No Existe Producto")</f>
        <v>-</v>
      </c>
      <c r="D26" s="67"/>
      <c r="E26" s="68"/>
      <c r="F26" s="31">
        <f>IFERROR(VLOOKUP(A26,$B$73:$E$378,4,0),"0")</f>
        <v>0</v>
      </c>
      <c r="G26" s="66">
        <v>0</v>
      </c>
      <c r="H26" s="21">
        <f>G26*F26</f>
        <v>0</v>
      </c>
    </row>
    <row r="27" spans="1:8" s="8" customFormat="1" ht="20.100000000000001" customHeight="1" x14ac:dyDescent="0.2">
      <c r="A27" s="75">
        <v>0</v>
      </c>
      <c r="B27" s="34" t="str">
        <f>IFERROR(VLOOKUP(A27,$B$73:$E$378,2,0),"No Existe Producto")</f>
        <v>NINGUNO</v>
      </c>
      <c r="C27" s="36" t="str">
        <f>IFERROR(VLOOKUP(A27,$B$73:$E$378,3,0),"No Existe Producto")</f>
        <v>-</v>
      </c>
      <c r="D27" s="69"/>
      <c r="E27" s="70"/>
      <c r="F27" s="31">
        <f>IFERROR(VLOOKUP(A27,$B$73:$E$378,4,0),"0")</f>
        <v>0</v>
      </c>
      <c r="G27" s="66">
        <v>0</v>
      </c>
      <c r="H27" s="21">
        <f t="shared" ref="H27:H49" si="0">G27*F27</f>
        <v>0</v>
      </c>
    </row>
    <row r="28" spans="1:8" s="8" customFormat="1" ht="20.100000000000001" customHeight="1" x14ac:dyDescent="0.2">
      <c r="A28" s="75">
        <v>0</v>
      </c>
      <c r="B28" s="34" t="str">
        <f>IFERROR(VLOOKUP(A28,$B$73:$E$378,2,0),"No Existe Producto")</f>
        <v>NINGUNO</v>
      </c>
      <c r="C28" s="36" t="str">
        <f>IFERROR(VLOOKUP(A28,$B$73:$E$378,3,0),"No Existe Producto")</f>
        <v>-</v>
      </c>
      <c r="D28" s="71"/>
      <c r="E28" s="72"/>
      <c r="F28" s="31">
        <f>IFERROR(VLOOKUP(A28,$B$73:$E$378,4,0),"0")</f>
        <v>0</v>
      </c>
      <c r="G28" s="66">
        <v>0</v>
      </c>
      <c r="H28" s="21">
        <f t="shared" si="0"/>
        <v>0</v>
      </c>
    </row>
    <row r="29" spans="1:8" s="8" customFormat="1" ht="20.100000000000001" customHeight="1" x14ac:dyDescent="0.2">
      <c r="A29" s="75">
        <v>0</v>
      </c>
      <c r="B29" s="34" t="str">
        <f>IFERROR(VLOOKUP(A29,$B$73:$E$378,2,0),"No Existe Producto")</f>
        <v>NINGUNO</v>
      </c>
      <c r="C29" s="36" t="str">
        <f>IFERROR(VLOOKUP(A29,$B$73:$E$378,3,0),"No Existe Producto")</f>
        <v>-</v>
      </c>
      <c r="D29" s="71"/>
      <c r="E29" s="72"/>
      <c r="F29" s="31">
        <f>IFERROR(VLOOKUP(A29,$B$73:$E$378,4,0),"0")</f>
        <v>0</v>
      </c>
      <c r="G29" s="66">
        <v>0</v>
      </c>
      <c r="H29" s="21">
        <f t="shared" si="0"/>
        <v>0</v>
      </c>
    </row>
    <row r="30" spans="1:8" s="8" customFormat="1" ht="20.100000000000001" customHeight="1" x14ac:dyDescent="0.2">
      <c r="A30" s="75">
        <v>0</v>
      </c>
      <c r="B30" s="34" t="str">
        <f>IFERROR(VLOOKUP(A30,$B$73:$E$378,2,0),"No Existe Producto")</f>
        <v>NINGUNO</v>
      </c>
      <c r="C30" s="36" t="str">
        <f>IFERROR(VLOOKUP(A30,$B$73:$E$378,3,0),"No Existe Producto")</f>
        <v>-</v>
      </c>
      <c r="D30" s="71"/>
      <c r="E30" s="72"/>
      <c r="F30" s="31">
        <f>IFERROR(VLOOKUP(A30,$B$73:$E$378,4,0),"0")</f>
        <v>0</v>
      </c>
      <c r="G30" s="66">
        <v>0</v>
      </c>
      <c r="H30" s="21">
        <f t="shared" si="0"/>
        <v>0</v>
      </c>
    </row>
    <row r="31" spans="1:8" s="8" customFormat="1" ht="20.100000000000001" customHeight="1" x14ac:dyDescent="0.2">
      <c r="A31" s="75">
        <v>0</v>
      </c>
      <c r="B31" s="34" t="str">
        <f>IFERROR(VLOOKUP(A31,$B$73:$E$378,2,0),"No Existe Producto")</f>
        <v>NINGUNO</v>
      </c>
      <c r="C31" s="36" t="str">
        <f>IFERROR(VLOOKUP(A31,$B$73:$E$378,3,0),"No Existe Producto")</f>
        <v>-</v>
      </c>
      <c r="D31" s="71"/>
      <c r="E31" s="72"/>
      <c r="F31" s="31">
        <f>IFERROR(VLOOKUP(A31,$B$73:$E$378,4,0),"0")</f>
        <v>0</v>
      </c>
      <c r="G31" s="66">
        <v>0</v>
      </c>
      <c r="H31" s="21">
        <f t="shared" si="0"/>
        <v>0</v>
      </c>
    </row>
    <row r="32" spans="1:8" s="8" customFormat="1" ht="20.100000000000001" customHeight="1" x14ac:dyDescent="0.2">
      <c r="A32" s="75">
        <v>0</v>
      </c>
      <c r="B32" s="34" t="str">
        <f>IFERROR(VLOOKUP(A32,$B$73:$E$378,2,0),"No Existe Producto")</f>
        <v>NINGUNO</v>
      </c>
      <c r="C32" s="36" t="str">
        <f>IFERROR(VLOOKUP(A32,$B$73:$E$378,3,0),"No Existe Producto")</f>
        <v>-</v>
      </c>
      <c r="D32" s="71"/>
      <c r="E32" s="72"/>
      <c r="F32" s="31">
        <f>IFERROR(VLOOKUP(A32,$B$73:$E$378,4,0),"0")</f>
        <v>0</v>
      </c>
      <c r="G32" s="66">
        <v>0</v>
      </c>
      <c r="H32" s="21">
        <f t="shared" si="0"/>
        <v>0</v>
      </c>
    </row>
    <row r="33" spans="1:8" s="8" customFormat="1" ht="20.100000000000001" customHeight="1" x14ac:dyDescent="0.2">
      <c r="A33" s="75">
        <v>0</v>
      </c>
      <c r="B33" s="34" t="str">
        <f>IFERROR(VLOOKUP(A33,$B$73:$E$378,2,0),"No Existe Producto")</f>
        <v>NINGUNO</v>
      </c>
      <c r="C33" s="36" t="str">
        <f>IFERROR(VLOOKUP(A33,$B$73:$E$378,3,0),"No Existe Producto")</f>
        <v>-</v>
      </c>
      <c r="D33" s="71"/>
      <c r="E33" s="72"/>
      <c r="F33" s="31">
        <f>IFERROR(VLOOKUP(A33,$B$73:$E$378,4,0),"0")</f>
        <v>0</v>
      </c>
      <c r="G33" s="66">
        <v>0</v>
      </c>
      <c r="H33" s="21">
        <f t="shared" si="0"/>
        <v>0</v>
      </c>
    </row>
    <row r="34" spans="1:8" s="8" customFormat="1" ht="20.100000000000001" customHeight="1" x14ac:dyDescent="0.2">
      <c r="A34" s="75">
        <v>0</v>
      </c>
      <c r="B34" s="34" t="str">
        <f>IFERROR(VLOOKUP(A34,$B$73:$E$378,2,0),"No Existe Producto")</f>
        <v>NINGUNO</v>
      </c>
      <c r="C34" s="36" t="str">
        <f>IFERROR(VLOOKUP(A34,$B$73:$E$378,3,0),"No Existe Producto")</f>
        <v>-</v>
      </c>
      <c r="D34" s="71"/>
      <c r="E34" s="72"/>
      <c r="F34" s="31">
        <f>IFERROR(VLOOKUP(A34,$B$73:$E$378,4,0),"0")</f>
        <v>0</v>
      </c>
      <c r="G34" s="66">
        <v>0</v>
      </c>
      <c r="H34" s="21">
        <f t="shared" si="0"/>
        <v>0</v>
      </c>
    </row>
    <row r="35" spans="1:8" s="8" customFormat="1" ht="20.100000000000001" customHeight="1" x14ac:dyDescent="0.2">
      <c r="A35" s="75">
        <v>0</v>
      </c>
      <c r="B35" s="34" t="str">
        <f>IFERROR(VLOOKUP(A35,$B$73:$E$378,2,0),"No Existe Producto")</f>
        <v>NINGUNO</v>
      </c>
      <c r="C35" s="36" t="str">
        <f>IFERROR(VLOOKUP(A35,$B$73:$E$378,3,0),"No Existe Producto")</f>
        <v>-</v>
      </c>
      <c r="D35" s="71"/>
      <c r="E35" s="72"/>
      <c r="F35" s="31">
        <f>IFERROR(VLOOKUP(A35,$B$73:$E$378,4,0),"0")</f>
        <v>0</v>
      </c>
      <c r="G35" s="66">
        <v>0</v>
      </c>
      <c r="H35" s="21">
        <f t="shared" si="0"/>
        <v>0</v>
      </c>
    </row>
    <row r="36" spans="1:8" s="8" customFormat="1" ht="20.100000000000001" customHeight="1" x14ac:dyDescent="0.2">
      <c r="A36" s="75">
        <v>0</v>
      </c>
      <c r="B36" s="34" t="str">
        <f>IFERROR(VLOOKUP(A36,$B$73:$E$378,2,0),"No Existe Producto")</f>
        <v>NINGUNO</v>
      </c>
      <c r="C36" s="36" t="str">
        <f>IFERROR(VLOOKUP(A36,$B$73:$E$378,3,0),"No Existe Producto")</f>
        <v>-</v>
      </c>
      <c r="D36" s="71"/>
      <c r="E36" s="72"/>
      <c r="F36" s="31">
        <f>IFERROR(VLOOKUP(A36,$B$73:$E$378,4,0),"0")</f>
        <v>0</v>
      </c>
      <c r="G36" s="66">
        <v>0</v>
      </c>
      <c r="H36" s="21">
        <f t="shared" si="0"/>
        <v>0</v>
      </c>
    </row>
    <row r="37" spans="1:8" s="8" customFormat="1" ht="20.100000000000001" customHeight="1" x14ac:dyDescent="0.2">
      <c r="A37" s="75">
        <v>0</v>
      </c>
      <c r="B37" s="34" t="str">
        <f>IFERROR(VLOOKUP(A37,$B$73:$E$378,2,0),"No Existe Producto")</f>
        <v>NINGUNO</v>
      </c>
      <c r="C37" s="36" t="str">
        <f>IFERROR(VLOOKUP(A37,$B$73:$E$378,3,0),"No Existe Producto")</f>
        <v>-</v>
      </c>
      <c r="D37" s="71"/>
      <c r="E37" s="72"/>
      <c r="F37" s="31">
        <f>IFERROR(VLOOKUP(A37,$B$73:$E$378,4,0),"0")</f>
        <v>0</v>
      </c>
      <c r="G37" s="66">
        <v>0</v>
      </c>
      <c r="H37" s="21">
        <f t="shared" si="0"/>
        <v>0</v>
      </c>
    </row>
    <row r="38" spans="1:8" s="8" customFormat="1" ht="20.100000000000001" customHeight="1" x14ac:dyDescent="0.2">
      <c r="A38" s="75">
        <v>0</v>
      </c>
      <c r="B38" s="34" t="str">
        <f>IFERROR(VLOOKUP(A38,$B$73:$E$378,2,0),"No Existe Producto")</f>
        <v>NINGUNO</v>
      </c>
      <c r="C38" s="36" t="str">
        <f>IFERROR(VLOOKUP(A38,$B$73:$E$378,3,0),"No Existe Producto")</f>
        <v>-</v>
      </c>
      <c r="D38" s="71"/>
      <c r="E38" s="72"/>
      <c r="F38" s="31">
        <f>IFERROR(VLOOKUP(A38,$B$73:$E$378,4,0),"0")</f>
        <v>0</v>
      </c>
      <c r="G38" s="66">
        <v>0</v>
      </c>
      <c r="H38" s="21">
        <f t="shared" si="0"/>
        <v>0</v>
      </c>
    </row>
    <row r="39" spans="1:8" s="8" customFormat="1" ht="20.100000000000001" customHeight="1" x14ac:dyDescent="0.2">
      <c r="A39" s="75">
        <v>0</v>
      </c>
      <c r="B39" s="34" t="str">
        <f>IFERROR(VLOOKUP(A39,$B$73:$E$378,2,0),"No Existe Producto")</f>
        <v>NINGUNO</v>
      </c>
      <c r="C39" s="36" t="str">
        <f>IFERROR(VLOOKUP(A39,$B$73:$E$378,3,0),"No Existe Producto")</f>
        <v>-</v>
      </c>
      <c r="D39" s="71"/>
      <c r="E39" s="72"/>
      <c r="F39" s="31">
        <f>IFERROR(VLOOKUP(A39,$B$73:$E$378,4,0),"0")</f>
        <v>0</v>
      </c>
      <c r="G39" s="66">
        <v>0</v>
      </c>
      <c r="H39" s="21">
        <f t="shared" si="0"/>
        <v>0</v>
      </c>
    </row>
    <row r="40" spans="1:8" s="8" customFormat="1" ht="20.100000000000001" customHeight="1" x14ac:dyDescent="0.2">
      <c r="A40" s="75">
        <v>0</v>
      </c>
      <c r="B40" s="34" t="str">
        <f>IFERROR(VLOOKUP(A40,$B$73:$E$378,2,0),"No Existe Producto")</f>
        <v>NINGUNO</v>
      </c>
      <c r="C40" s="36" t="str">
        <f>IFERROR(VLOOKUP(A40,$B$73:$E$378,3,0),"No Existe Producto")</f>
        <v>-</v>
      </c>
      <c r="D40" s="71"/>
      <c r="E40" s="72"/>
      <c r="F40" s="31">
        <f>IFERROR(VLOOKUP(A40,$B$73:$E$378,4,0),"0")</f>
        <v>0</v>
      </c>
      <c r="G40" s="66">
        <v>0</v>
      </c>
      <c r="H40" s="21">
        <f t="shared" si="0"/>
        <v>0</v>
      </c>
    </row>
    <row r="41" spans="1:8" s="8" customFormat="1" ht="20.100000000000001" customHeight="1" x14ac:dyDescent="0.2">
      <c r="A41" s="75">
        <v>0</v>
      </c>
      <c r="B41" s="34" t="str">
        <f>IFERROR(VLOOKUP(A41,$B$73:$E$378,2,0),"No Existe Producto")</f>
        <v>NINGUNO</v>
      </c>
      <c r="C41" s="36" t="str">
        <f>IFERROR(VLOOKUP(A41,$B$73:$E$378,3,0),"No Existe Producto")</f>
        <v>-</v>
      </c>
      <c r="D41" s="71"/>
      <c r="E41" s="72"/>
      <c r="F41" s="31">
        <f>IFERROR(VLOOKUP(A41,$B$73:$E$378,4,0),"0")</f>
        <v>0</v>
      </c>
      <c r="G41" s="66">
        <v>0</v>
      </c>
      <c r="H41" s="21">
        <f t="shared" si="0"/>
        <v>0</v>
      </c>
    </row>
    <row r="42" spans="1:8" s="8" customFormat="1" ht="20.100000000000001" customHeight="1" x14ac:dyDescent="0.2">
      <c r="A42" s="75">
        <v>0</v>
      </c>
      <c r="B42" s="34" t="str">
        <f>IFERROR(VLOOKUP(A42,$B$73:$E$378,2,0),"No Existe Producto")</f>
        <v>NINGUNO</v>
      </c>
      <c r="C42" s="36" t="str">
        <f>IFERROR(VLOOKUP(A42,$B$73:$E$378,3,0),"No Existe Producto")</f>
        <v>-</v>
      </c>
      <c r="D42" s="71"/>
      <c r="E42" s="72"/>
      <c r="F42" s="31">
        <f>IFERROR(VLOOKUP(A42,$B$73:$E$378,4,0),"0")</f>
        <v>0</v>
      </c>
      <c r="G42" s="66">
        <v>0</v>
      </c>
      <c r="H42" s="21">
        <f t="shared" si="0"/>
        <v>0</v>
      </c>
    </row>
    <row r="43" spans="1:8" s="8" customFormat="1" ht="20.100000000000001" customHeight="1" x14ac:dyDescent="0.2">
      <c r="A43" s="75">
        <v>0</v>
      </c>
      <c r="B43" s="34" t="str">
        <f>IFERROR(VLOOKUP(A43,$B$73:$E$378,2,0),"No Existe Producto")</f>
        <v>NINGUNO</v>
      </c>
      <c r="C43" s="36" t="str">
        <f>IFERROR(VLOOKUP(A43,$B$73:$E$378,3,0),"No Existe Producto")</f>
        <v>-</v>
      </c>
      <c r="D43" s="71"/>
      <c r="E43" s="72"/>
      <c r="F43" s="31">
        <f>IFERROR(VLOOKUP(A43,$B$73:$E$378,4,0),"0")</f>
        <v>0</v>
      </c>
      <c r="G43" s="66">
        <v>0</v>
      </c>
      <c r="H43" s="21">
        <f t="shared" si="0"/>
        <v>0</v>
      </c>
    </row>
    <row r="44" spans="1:8" s="8" customFormat="1" ht="20.100000000000001" customHeight="1" x14ac:dyDescent="0.2">
      <c r="A44" s="75">
        <v>0</v>
      </c>
      <c r="B44" s="34" t="str">
        <f>IFERROR(VLOOKUP(A44,$B$73:$E$378,2,0),"No Existe Producto")</f>
        <v>NINGUNO</v>
      </c>
      <c r="C44" s="36" t="str">
        <f>IFERROR(VLOOKUP(A44,$B$73:$E$378,3,0),"No Existe Producto")</f>
        <v>-</v>
      </c>
      <c r="D44" s="71"/>
      <c r="E44" s="72"/>
      <c r="F44" s="31">
        <f>IFERROR(VLOOKUP(A44,$B$73:$E$378,4,0),"0")</f>
        <v>0</v>
      </c>
      <c r="G44" s="66">
        <v>0</v>
      </c>
      <c r="H44" s="21">
        <f t="shared" si="0"/>
        <v>0</v>
      </c>
    </row>
    <row r="45" spans="1:8" s="8" customFormat="1" ht="20.100000000000001" customHeight="1" x14ac:dyDescent="0.2">
      <c r="A45" s="75">
        <v>0</v>
      </c>
      <c r="B45" s="34" t="str">
        <f>IFERROR(VLOOKUP(A45,$B$73:$E$378,2,0),"No Existe Producto")</f>
        <v>NINGUNO</v>
      </c>
      <c r="C45" s="36" t="str">
        <f>IFERROR(VLOOKUP(A45,$B$73:$E$378,3,0),"No Existe Producto")</f>
        <v>-</v>
      </c>
      <c r="D45" s="71"/>
      <c r="E45" s="72"/>
      <c r="F45" s="31">
        <f>IFERROR(VLOOKUP(A45,$B$73:$E$378,4,0),"0")</f>
        <v>0</v>
      </c>
      <c r="G45" s="66">
        <v>0</v>
      </c>
      <c r="H45" s="21">
        <f t="shared" si="0"/>
        <v>0</v>
      </c>
    </row>
    <row r="46" spans="1:8" s="8" customFormat="1" ht="20.100000000000001" customHeight="1" x14ac:dyDescent="0.2">
      <c r="A46" s="75">
        <v>0</v>
      </c>
      <c r="B46" s="34" t="str">
        <f>IFERROR(VLOOKUP(A46,$B$73:$E$378,2,0),"No Existe Producto")</f>
        <v>NINGUNO</v>
      </c>
      <c r="C46" s="36" t="str">
        <f>IFERROR(VLOOKUP(A46,$B$73:$E$378,3,0),"No Existe Producto")</f>
        <v>-</v>
      </c>
      <c r="D46" s="71"/>
      <c r="E46" s="72"/>
      <c r="F46" s="31">
        <f>IFERROR(VLOOKUP(A46,$B$73:$E$378,4,0),"0")</f>
        <v>0</v>
      </c>
      <c r="G46" s="66">
        <v>0</v>
      </c>
      <c r="H46" s="21">
        <f t="shared" si="0"/>
        <v>0</v>
      </c>
    </row>
    <row r="47" spans="1:8" s="8" customFormat="1" ht="20.100000000000001" customHeight="1" x14ac:dyDescent="0.2">
      <c r="A47" s="75">
        <v>0</v>
      </c>
      <c r="B47" s="34" t="str">
        <f>IFERROR(VLOOKUP(A47,$B$73:$E$378,2,0),"No Existe Producto")</f>
        <v>NINGUNO</v>
      </c>
      <c r="C47" s="36" t="str">
        <f>IFERROR(VLOOKUP(A47,$B$73:$E$378,3,0),"No Existe Producto")</f>
        <v>-</v>
      </c>
      <c r="D47" s="71"/>
      <c r="E47" s="72"/>
      <c r="F47" s="31">
        <f>IFERROR(VLOOKUP(A47,$B$73:$E$378,4,0),"0")</f>
        <v>0</v>
      </c>
      <c r="G47" s="66">
        <v>0</v>
      </c>
      <c r="H47" s="21">
        <f t="shared" si="0"/>
        <v>0</v>
      </c>
    </row>
    <row r="48" spans="1:8" s="8" customFormat="1" ht="20.100000000000001" customHeight="1" x14ac:dyDescent="0.2">
      <c r="A48" s="75">
        <v>0</v>
      </c>
      <c r="B48" s="34" t="str">
        <f>IFERROR(VLOOKUP(A48,$B$73:$E$378,2,0),"No Existe Producto")</f>
        <v>NINGUNO</v>
      </c>
      <c r="C48" s="36" t="str">
        <f>IFERROR(VLOOKUP(A48,$B$73:$E$378,3,0),"No Existe Producto")</f>
        <v>-</v>
      </c>
      <c r="D48" s="71"/>
      <c r="E48" s="72"/>
      <c r="F48" s="31">
        <f>IFERROR(VLOOKUP(A48,$B$73:$E$378,4,0),"0")</f>
        <v>0</v>
      </c>
      <c r="G48" s="66">
        <v>0</v>
      </c>
      <c r="H48" s="21">
        <f t="shared" si="0"/>
        <v>0</v>
      </c>
    </row>
    <row r="49" spans="1:9" s="8" customFormat="1" ht="20.100000000000001" customHeight="1" x14ac:dyDescent="0.2">
      <c r="A49" s="75">
        <v>0</v>
      </c>
      <c r="B49" s="35" t="str">
        <f>IFERROR(VLOOKUP(A49,$B$73:$E$378,2,0),"No Existe Producto")</f>
        <v>NINGUNO</v>
      </c>
      <c r="C49" s="37" t="str">
        <f>IFERROR(VLOOKUP(A49,$B$73:$E$378,3,0),"No Existe Producto")</f>
        <v>-</v>
      </c>
      <c r="D49" s="73"/>
      <c r="E49" s="74"/>
      <c r="F49" s="32">
        <f>IFERROR(VLOOKUP(A49,$B$73:$E$378,4,0),"0")</f>
        <v>0</v>
      </c>
      <c r="G49" s="66">
        <v>0</v>
      </c>
      <c r="H49" s="21">
        <f t="shared" si="0"/>
        <v>0</v>
      </c>
    </row>
    <row r="50" spans="1:9" s="8" customFormat="1" ht="20.100000000000001" customHeight="1" x14ac:dyDescent="0.2">
      <c r="A50" s="11"/>
      <c r="B50" s="11"/>
      <c r="C50" s="11"/>
      <c r="D50" s="11"/>
      <c r="G50" s="12" t="s">
        <v>3</v>
      </c>
      <c r="H50" s="22">
        <f>SUM(H26:H49)</f>
        <v>0</v>
      </c>
    </row>
    <row r="51" spans="1:9" s="8" customFormat="1" ht="20.100000000000001" customHeight="1" x14ac:dyDescent="0.2">
      <c r="A51" s="11"/>
      <c r="B51" s="11"/>
      <c r="C51" s="11"/>
      <c r="D51" s="11"/>
      <c r="G51" s="24" t="s">
        <v>557</v>
      </c>
      <c r="H51" s="25"/>
    </row>
    <row r="52" spans="1:9" s="8" customFormat="1" ht="20.100000000000001" customHeight="1" x14ac:dyDescent="0.2">
      <c r="B52" s="14" t="s">
        <v>20</v>
      </c>
      <c r="C52" s="39" t="str">
        <f>NUMLETRAS(H52,1)</f>
        <v>(***CERO PESOS 00/100 M.N.***)</v>
      </c>
      <c r="G52" s="9" t="s">
        <v>4</v>
      </c>
      <c r="H52" s="22">
        <f>H50+H51</f>
        <v>0</v>
      </c>
    </row>
    <row r="53" spans="1:9" s="1" customFormat="1" x14ac:dyDescent="0.2"/>
    <row r="54" spans="1:9" s="1" customFormat="1" x14ac:dyDescent="0.2"/>
    <row r="55" spans="1:9" s="1" customFormat="1" x14ac:dyDescent="0.2">
      <c r="A55" s="26"/>
      <c r="B55" s="26"/>
      <c r="C55" s="26"/>
      <c r="D55" s="26"/>
      <c r="E55" s="26"/>
      <c r="F55" s="26"/>
      <c r="G55" s="26"/>
      <c r="H55" s="26"/>
      <c r="I55" s="26"/>
    </row>
    <row r="56" spans="1:9" s="1" customFormat="1" x14ac:dyDescent="0.2">
      <c r="A56" s="26"/>
      <c r="B56" s="26"/>
      <c r="C56" s="26"/>
      <c r="D56" s="26"/>
      <c r="E56" s="26"/>
      <c r="F56" s="26"/>
      <c r="G56" s="26"/>
      <c r="H56" s="26"/>
      <c r="I56" s="26"/>
    </row>
    <row r="57" spans="1:9" s="1" customFormat="1" x14ac:dyDescent="0.2">
      <c r="A57" s="26"/>
      <c r="B57" s="26"/>
      <c r="C57" s="26"/>
      <c r="D57" s="26"/>
      <c r="E57" s="26"/>
      <c r="F57" s="26"/>
      <c r="G57" s="26"/>
      <c r="H57" s="26"/>
      <c r="I57" s="26"/>
    </row>
    <row r="58" spans="1:9" s="1" customFormat="1" x14ac:dyDescent="0.2">
      <c r="A58" s="87"/>
      <c r="B58" s="87"/>
      <c r="C58" s="87"/>
      <c r="D58" s="87"/>
      <c r="E58" s="26"/>
      <c r="F58" s="26"/>
      <c r="G58" s="26"/>
      <c r="H58" s="26"/>
      <c r="I58" s="26"/>
    </row>
    <row r="59" spans="1:9" s="1" customFormat="1" x14ac:dyDescent="0.2">
      <c r="A59" s="26"/>
      <c r="B59" s="26"/>
      <c r="C59" s="26"/>
      <c r="D59" s="26"/>
      <c r="E59" s="26"/>
      <c r="F59" s="26"/>
      <c r="G59" s="26"/>
      <c r="H59" s="26"/>
      <c r="I59" s="26"/>
    </row>
    <row r="60" spans="1:9" s="1" customFormat="1" x14ac:dyDescent="0.2">
      <c r="A60" s="26"/>
      <c r="B60" s="26"/>
      <c r="C60" s="26"/>
      <c r="D60" s="26"/>
      <c r="E60" s="26"/>
      <c r="F60" s="26"/>
      <c r="G60" s="26"/>
      <c r="H60" s="26"/>
      <c r="I60" s="26"/>
    </row>
    <row r="61" spans="1:9" s="1" customFormat="1" x14ac:dyDescent="0.2">
      <c r="A61" s="26"/>
      <c r="B61" s="26"/>
      <c r="C61" s="26"/>
      <c r="D61" s="26"/>
      <c r="E61" s="26"/>
      <c r="F61" s="26"/>
      <c r="G61" s="26"/>
      <c r="H61" s="26"/>
      <c r="I61" s="26"/>
    </row>
    <row r="62" spans="1:9" s="1" customFormat="1" x14ac:dyDescent="0.2">
      <c r="A62" s="26"/>
      <c r="B62" s="26"/>
      <c r="C62" s="26"/>
      <c r="D62" s="26"/>
      <c r="E62" s="26"/>
      <c r="F62" s="26"/>
      <c r="G62" s="26"/>
      <c r="H62" s="26"/>
      <c r="I62" s="26"/>
    </row>
    <row r="63" spans="1:9" s="1" customFormat="1" x14ac:dyDescent="0.2">
      <c r="A63" s="26"/>
      <c r="B63" s="26"/>
      <c r="C63" s="26"/>
      <c r="D63" s="26"/>
      <c r="E63" s="26"/>
      <c r="F63" s="26"/>
      <c r="G63" s="26"/>
      <c r="H63" s="26"/>
      <c r="I63" s="26"/>
    </row>
    <row r="64" spans="1:9" s="1" customFormat="1" x14ac:dyDescent="0.2">
      <c r="A64" s="26"/>
      <c r="B64" s="26"/>
      <c r="C64" s="26"/>
      <c r="D64" s="26"/>
      <c r="E64" s="26"/>
      <c r="F64" s="26"/>
      <c r="G64" s="26"/>
      <c r="H64" s="26"/>
      <c r="I64" s="26"/>
    </row>
    <row r="65" spans="1:11" x14ac:dyDescent="0.2">
      <c r="A65" s="26"/>
      <c r="B65" s="26"/>
      <c r="C65" s="26"/>
      <c r="D65" s="26"/>
      <c r="E65" s="26"/>
      <c r="F65" s="26"/>
      <c r="G65" s="26"/>
      <c r="J65" s="1"/>
      <c r="K65" s="1"/>
    </row>
    <row r="66" spans="1:11" x14ac:dyDescent="0.2">
      <c r="A66" s="26"/>
      <c r="B66" s="26"/>
      <c r="C66" s="26"/>
      <c r="D66" s="26"/>
      <c r="E66" s="26"/>
      <c r="F66" s="26"/>
      <c r="G66" s="26"/>
      <c r="J66" s="1"/>
      <c r="K66" s="1"/>
    </row>
    <row r="67" spans="1:11" x14ac:dyDescent="0.2">
      <c r="A67" s="26"/>
      <c r="B67" s="26"/>
      <c r="C67" s="26"/>
      <c r="D67" s="26"/>
      <c r="E67" s="26"/>
      <c r="F67" s="26"/>
      <c r="G67" s="26"/>
      <c r="J67" s="1"/>
      <c r="K67" s="1"/>
    </row>
    <row r="68" spans="1:11" x14ac:dyDescent="0.2">
      <c r="A68" s="26"/>
      <c r="B68" s="26"/>
      <c r="C68" s="26"/>
      <c r="D68" s="26"/>
      <c r="E68" s="26"/>
      <c r="F68" s="26"/>
      <c r="G68" s="26"/>
      <c r="J68" s="1"/>
      <c r="K68" s="1"/>
    </row>
    <row r="69" spans="1:11" x14ac:dyDescent="0.2">
      <c r="A69" s="26"/>
      <c r="B69" s="26"/>
      <c r="C69" s="26"/>
      <c r="D69" s="26"/>
      <c r="E69" s="26"/>
      <c r="F69" s="26"/>
      <c r="G69" s="26"/>
      <c r="J69" s="1"/>
      <c r="K69" s="1"/>
    </row>
    <row r="70" spans="1:11" x14ac:dyDescent="0.2">
      <c r="C70" s="56"/>
      <c r="D70" s="56"/>
      <c r="E70" s="56"/>
      <c r="G70" s="56">
        <v>1</v>
      </c>
      <c r="H70" s="56" t="s">
        <v>910</v>
      </c>
      <c r="J70" s="1"/>
      <c r="K70" s="1"/>
    </row>
    <row r="71" spans="1:11" s="10" customFormat="1" x14ac:dyDescent="0.2">
      <c r="A71" s="28"/>
      <c r="B71" s="28"/>
      <c r="C71" s="56"/>
      <c r="D71" s="56"/>
      <c r="E71" s="56"/>
      <c r="F71" s="28"/>
      <c r="G71" s="56">
        <v>2</v>
      </c>
      <c r="H71" s="56" t="s">
        <v>911</v>
      </c>
      <c r="I71" s="26"/>
    </row>
    <row r="72" spans="1:11" s="10" customFormat="1" x14ac:dyDescent="0.2">
      <c r="A72" s="28"/>
      <c r="B72" s="82" t="s">
        <v>893</v>
      </c>
      <c r="C72" s="28" t="s">
        <v>892</v>
      </c>
      <c r="D72" s="23" t="s">
        <v>17</v>
      </c>
      <c r="E72" s="23" t="s">
        <v>2</v>
      </c>
      <c r="F72" s="83"/>
      <c r="G72" s="23" t="s">
        <v>909</v>
      </c>
      <c r="H72" s="26"/>
      <c r="I72" s="26"/>
      <c r="J72" s="26"/>
      <c r="K72" s="26"/>
    </row>
    <row r="73" spans="1:11" s="10" customFormat="1" x14ac:dyDescent="0.2">
      <c r="A73" s="28"/>
      <c r="B73" s="84">
        <v>5697</v>
      </c>
      <c r="C73" s="28" t="s">
        <v>746</v>
      </c>
      <c r="D73" s="23" t="s">
        <v>593</v>
      </c>
      <c r="E73" s="23">
        <v>350</v>
      </c>
      <c r="F73" s="83"/>
      <c r="G73" s="23">
        <v>2</v>
      </c>
      <c r="H73" s="26"/>
      <c r="I73" s="26"/>
      <c r="J73" s="26"/>
      <c r="K73" s="26"/>
    </row>
    <row r="74" spans="1:11" s="10" customFormat="1" x14ac:dyDescent="0.2">
      <c r="A74" s="28"/>
      <c r="B74" s="85">
        <v>161</v>
      </c>
      <c r="C74" s="28" t="s">
        <v>730</v>
      </c>
      <c r="D74" s="23" t="s">
        <v>558</v>
      </c>
      <c r="E74" s="23">
        <v>310</v>
      </c>
      <c r="F74" s="28"/>
      <c r="G74" s="23">
        <v>1</v>
      </c>
      <c r="H74" s="26"/>
      <c r="I74" s="26"/>
      <c r="J74" s="26"/>
      <c r="K74" s="26"/>
    </row>
    <row r="75" spans="1:11" s="10" customFormat="1" x14ac:dyDescent="0.2">
      <c r="A75" s="28"/>
      <c r="B75" s="85">
        <v>165</v>
      </c>
      <c r="C75" s="28" t="s">
        <v>729</v>
      </c>
      <c r="D75" s="23" t="s">
        <v>558</v>
      </c>
      <c r="E75" s="23">
        <v>45</v>
      </c>
      <c r="F75" s="28"/>
      <c r="G75" s="23">
        <v>1</v>
      </c>
      <c r="H75" s="26"/>
      <c r="I75" s="26"/>
      <c r="J75" s="26"/>
      <c r="K75" s="26"/>
    </row>
    <row r="76" spans="1:11" s="10" customFormat="1" x14ac:dyDescent="0.2">
      <c r="A76" s="28"/>
      <c r="B76" s="85">
        <v>202</v>
      </c>
      <c r="C76" s="28" t="s">
        <v>637</v>
      </c>
      <c r="D76" s="23" t="s">
        <v>558</v>
      </c>
      <c r="E76" s="23">
        <v>150</v>
      </c>
      <c r="F76" s="28"/>
      <c r="G76" s="23">
        <v>1</v>
      </c>
      <c r="H76" s="26"/>
      <c r="I76" s="26"/>
      <c r="J76" s="26"/>
      <c r="K76" s="26"/>
    </row>
    <row r="77" spans="1:11" s="10" customFormat="1" x14ac:dyDescent="0.2">
      <c r="A77" s="28"/>
      <c r="B77" s="85">
        <v>203</v>
      </c>
      <c r="C77" s="28" t="s">
        <v>768</v>
      </c>
      <c r="D77" s="23" t="s">
        <v>558</v>
      </c>
      <c r="E77" s="23">
        <v>150</v>
      </c>
      <c r="F77" s="28"/>
      <c r="G77" s="23">
        <v>1</v>
      </c>
      <c r="H77" s="26"/>
      <c r="I77" s="26"/>
      <c r="J77" s="26"/>
      <c r="K77" s="26"/>
    </row>
    <row r="78" spans="1:11" s="10" customFormat="1" x14ac:dyDescent="0.2">
      <c r="A78" s="28"/>
      <c r="B78" s="85">
        <v>204</v>
      </c>
      <c r="C78" s="28" t="s">
        <v>769</v>
      </c>
      <c r="D78" s="23" t="s">
        <v>558</v>
      </c>
      <c r="E78" s="23">
        <v>150</v>
      </c>
      <c r="F78" s="28"/>
      <c r="G78" s="23">
        <v>1</v>
      </c>
      <c r="H78" s="26"/>
      <c r="I78" s="26"/>
      <c r="J78" s="26"/>
      <c r="K78" s="26"/>
    </row>
    <row r="79" spans="1:11" s="10" customFormat="1" x14ac:dyDescent="0.2">
      <c r="A79" s="28"/>
      <c r="B79" s="85">
        <v>205</v>
      </c>
      <c r="C79" s="28" t="s">
        <v>770</v>
      </c>
      <c r="D79" s="23" t="s">
        <v>558</v>
      </c>
      <c r="E79" s="23">
        <v>150</v>
      </c>
      <c r="F79" s="28"/>
      <c r="G79" s="23">
        <v>1</v>
      </c>
      <c r="H79" s="26"/>
      <c r="I79" s="26"/>
      <c r="J79" s="26"/>
      <c r="K79" s="26"/>
    </row>
    <row r="80" spans="1:11" s="10" customFormat="1" x14ac:dyDescent="0.2">
      <c r="A80" s="28"/>
      <c r="B80" s="85">
        <v>207</v>
      </c>
      <c r="C80" s="28" t="s">
        <v>638</v>
      </c>
      <c r="D80" s="23" t="s">
        <v>558</v>
      </c>
      <c r="E80" s="23">
        <v>150</v>
      </c>
      <c r="F80" s="28"/>
      <c r="G80" s="23">
        <v>1</v>
      </c>
      <c r="H80" s="26"/>
      <c r="I80" s="26"/>
      <c r="J80" s="26"/>
      <c r="K80" s="26"/>
    </row>
    <row r="81" spans="1:11" s="10" customFormat="1" x14ac:dyDescent="0.2">
      <c r="A81" s="28"/>
      <c r="B81" s="85">
        <v>208</v>
      </c>
      <c r="C81" s="28" t="s">
        <v>639</v>
      </c>
      <c r="D81" s="23" t="s">
        <v>558</v>
      </c>
      <c r="E81" s="23">
        <v>185</v>
      </c>
      <c r="F81" s="28"/>
      <c r="G81" s="23">
        <v>1</v>
      </c>
      <c r="H81" s="26"/>
      <c r="I81" s="26"/>
      <c r="J81" s="26"/>
      <c r="K81" s="26"/>
    </row>
    <row r="82" spans="1:11" s="10" customFormat="1" x14ac:dyDescent="0.2">
      <c r="A82" s="28"/>
      <c r="B82" s="85">
        <v>257</v>
      </c>
      <c r="C82" s="28" t="s">
        <v>788</v>
      </c>
      <c r="D82" s="23" t="s">
        <v>558</v>
      </c>
      <c r="E82" s="23">
        <v>140</v>
      </c>
      <c r="F82" s="28"/>
      <c r="G82" s="23">
        <v>1</v>
      </c>
      <c r="H82" s="26"/>
      <c r="I82" s="26"/>
      <c r="J82" s="26"/>
      <c r="K82" s="26"/>
    </row>
    <row r="83" spans="1:11" s="10" customFormat="1" x14ac:dyDescent="0.2">
      <c r="A83" s="28"/>
      <c r="B83" s="85">
        <v>5396</v>
      </c>
      <c r="C83" s="28" t="s">
        <v>723</v>
      </c>
      <c r="D83" s="23" t="s">
        <v>558</v>
      </c>
      <c r="E83" s="23">
        <v>30</v>
      </c>
      <c r="F83" s="28"/>
      <c r="G83" s="23">
        <v>1</v>
      </c>
      <c r="H83" s="26"/>
      <c r="I83" s="26"/>
      <c r="J83" s="26"/>
      <c r="K83" s="26"/>
    </row>
    <row r="84" spans="1:11" s="10" customFormat="1" x14ac:dyDescent="0.2">
      <c r="A84" s="28"/>
      <c r="B84" s="85">
        <v>318</v>
      </c>
      <c r="C84" s="28" t="s">
        <v>830</v>
      </c>
      <c r="D84" s="23" t="s">
        <v>596</v>
      </c>
      <c r="E84" s="23">
        <v>435</v>
      </c>
      <c r="F84" s="28"/>
      <c r="G84" s="23">
        <v>2</v>
      </c>
      <c r="H84" s="26"/>
      <c r="I84" s="26"/>
      <c r="J84" s="26"/>
      <c r="K84" s="26"/>
    </row>
    <row r="85" spans="1:11" s="10" customFormat="1" x14ac:dyDescent="0.2">
      <c r="A85" s="28"/>
      <c r="B85" s="85">
        <v>319</v>
      </c>
      <c r="C85" s="28" t="s">
        <v>831</v>
      </c>
      <c r="D85" s="23" t="s">
        <v>595</v>
      </c>
      <c r="E85" s="23">
        <v>435</v>
      </c>
      <c r="F85" s="28"/>
      <c r="G85" s="23">
        <v>2</v>
      </c>
      <c r="H85" s="26"/>
      <c r="I85" s="26"/>
      <c r="J85" s="26"/>
      <c r="K85" s="26"/>
    </row>
    <row r="86" spans="1:11" s="10" customFormat="1" x14ac:dyDescent="0.2">
      <c r="A86" s="28"/>
      <c r="B86" s="85">
        <v>320</v>
      </c>
      <c r="C86" s="28" t="s">
        <v>837</v>
      </c>
      <c r="D86" s="23" t="s">
        <v>594</v>
      </c>
      <c r="E86" s="23">
        <v>435</v>
      </c>
      <c r="F86" s="28"/>
      <c r="G86" s="23">
        <v>2</v>
      </c>
      <c r="H86" s="26"/>
      <c r="I86" s="26"/>
      <c r="J86" s="26"/>
      <c r="K86" s="26"/>
    </row>
    <row r="87" spans="1:11" s="10" customFormat="1" x14ac:dyDescent="0.2">
      <c r="A87" s="28"/>
      <c r="B87" s="85">
        <v>321</v>
      </c>
      <c r="C87" s="28" t="s">
        <v>838</v>
      </c>
      <c r="D87" s="23" t="s">
        <v>597</v>
      </c>
      <c r="E87" s="23">
        <v>435</v>
      </c>
      <c r="F87" s="28"/>
      <c r="G87" s="23">
        <v>2</v>
      </c>
      <c r="H87" s="26"/>
      <c r="I87" s="26"/>
      <c r="J87" s="26"/>
      <c r="K87" s="26"/>
    </row>
    <row r="88" spans="1:11" s="10" customFormat="1" x14ac:dyDescent="0.2">
      <c r="A88" s="28"/>
      <c r="B88" s="85">
        <v>3826</v>
      </c>
      <c r="C88" s="28" t="s">
        <v>710</v>
      </c>
      <c r="D88" s="23" t="s">
        <v>596</v>
      </c>
      <c r="E88" s="23">
        <v>175</v>
      </c>
      <c r="F88" s="28"/>
      <c r="G88" s="23">
        <v>2</v>
      </c>
      <c r="H88" s="26"/>
      <c r="I88" s="26"/>
      <c r="J88" s="26"/>
      <c r="K88" s="26"/>
    </row>
    <row r="89" spans="1:11" s="10" customFormat="1" x14ac:dyDescent="0.2">
      <c r="A89" s="28"/>
      <c r="B89" s="85">
        <v>3829</v>
      </c>
      <c r="C89" s="28" t="s">
        <v>713</v>
      </c>
      <c r="D89" s="23" t="s">
        <v>595</v>
      </c>
      <c r="E89" s="23">
        <v>175</v>
      </c>
      <c r="F89" s="28"/>
      <c r="G89" s="23">
        <v>2</v>
      </c>
      <c r="H89" s="26"/>
      <c r="I89" s="26"/>
      <c r="J89" s="26"/>
      <c r="K89" s="26"/>
    </row>
    <row r="90" spans="1:11" s="10" customFormat="1" x14ac:dyDescent="0.2">
      <c r="A90" s="28"/>
      <c r="B90" s="85">
        <v>3828</v>
      </c>
      <c r="C90" s="28" t="s">
        <v>712</v>
      </c>
      <c r="D90" s="23" t="s">
        <v>594</v>
      </c>
      <c r="E90" s="23">
        <v>175</v>
      </c>
      <c r="F90" s="28"/>
      <c r="G90" s="23">
        <v>2</v>
      </c>
      <c r="H90" s="26"/>
      <c r="I90" s="26"/>
      <c r="J90" s="26"/>
      <c r="K90" s="26"/>
    </row>
    <row r="91" spans="1:11" s="10" customFormat="1" x14ac:dyDescent="0.2">
      <c r="A91" s="28"/>
      <c r="B91" s="85">
        <v>3827</v>
      </c>
      <c r="C91" s="28" t="s">
        <v>711</v>
      </c>
      <c r="D91" s="23" t="s">
        <v>597</v>
      </c>
      <c r="E91" s="23">
        <v>175</v>
      </c>
      <c r="F91" s="28"/>
      <c r="G91" s="23">
        <v>2</v>
      </c>
      <c r="H91" s="26"/>
      <c r="I91" s="26"/>
      <c r="J91" s="26"/>
      <c r="K91" s="26"/>
    </row>
    <row r="92" spans="1:11" s="10" customFormat="1" x14ac:dyDescent="0.2">
      <c r="A92" s="28"/>
      <c r="B92" s="85">
        <v>3830</v>
      </c>
      <c r="C92" s="28" t="s">
        <v>714</v>
      </c>
      <c r="D92" s="23" t="s">
        <v>596</v>
      </c>
      <c r="E92" s="23">
        <v>210</v>
      </c>
      <c r="F92" s="28"/>
      <c r="G92" s="23">
        <v>2</v>
      </c>
      <c r="H92" s="26"/>
      <c r="I92" s="26"/>
      <c r="J92" s="26"/>
      <c r="K92" s="26"/>
    </row>
    <row r="93" spans="1:11" s="10" customFormat="1" x14ac:dyDescent="0.2">
      <c r="A93" s="28"/>
      <c r="B93" s="85">
        <v>3833</v>
      </c>
      <c r="C93" s="28" t="s">
        <v>717</v>
      </c>
      <c r="D93" s="23" t="s">
        <v>595</v>
      </c>
      <c r="E93" s="23">
        <v>210</v>
      </c>
      <c r="F93" s="28"/>
      <c r="G93" s="23">
        <v>2</v>
      </c>
      <c r="H93" s="26"/>
      <c r="I93" s="26"/>
      <c r="J93" s="26"/>
      <c r="K93" s="26"/>
    </row>
    <row r="94" spans="1:11" s="10" customFormat="1" x14ac:dyDescent="0.2">
      <c r="A94" s="28"/>
      <c r="B94" s="85">
        <v>3832</v>
      </c>
      <c r="C94" s="28" t="s">
        <v>716</v>
      </c>
      <c r="D94" s="23" t="s">
        <v>594</v>
      </c>
      <c r="E94" s="23">
        <v>210</v>
      </c>
      <c r="F94" s="28"/>
      <c r="G94" s="23">
        <v>2</v>
      </c>
      <c r="H94" s="26"/>
      <c r="I94" s="26"/>
      <c r="J94" s="26"/>
      <c r="K94" s="26"/>
    </row>
    <row r="95" spans="1:11" s="10" customFormat="1" x14ac:dyDescent="0.2">
      <c r="A95" s="28"/>
      <c r="B95" s="85">
        <v>3831</v>
      </c>
      <c r="C95" s="28" t="s">
        <v>715</v>
      </c>
      <c r="D95" s="23" t="s">
        <v>597</v>
      </c>
      <c r="E95" s="23">
        <v>210</v>
      </c>
      <c r="F95" s="28"/>
      <c r="G95" s="23">
        <v>2</v>
      </c>
      <c r="H95" s="26"/>
      <c r="I95" s="26"/>
      <c r="J95" s="26"/>
      <c r="K95" s="26"/>
    </row>
    <row r="96" spans="1:11" s="10" customFormat="1" x14ac:dyDescent="0.2">
      <c r="A96" s="28"/>
      <c r="B96" s="85">
        <v>322</v>
      </c>
      <c r="C96" s="28" t="s">
        <v>738</v>
      </c>
      <c r="D96" s="23" t="s">
        <v>596</v>
      </c>
      <c r="E96" s="23">
        <v>140</v>
      </c>
      <c r="F96" s="28"/>
      <c r="G96" s="23">
        <v>2</v>
      </c>
      <c r="H96" s="26"/>
      <c r="I96" s="26"/>
      <c r="J96" s="26"/>
      <c r="K96" s="26"/>
    </row>
    <row r="97" spans="1:11" s="10" customFormat="1" x14ac:dyDescent="0.2">
      <c r="A97" s="28"/>
      <c r="B97" s="85">
        <v>323</v>
      </c>
      <c r="C97" s="28" t="s">
        <v>731</v>
      </c>
      <c r="D97" s="23" t="s">
        <v>594</v>
      </c>
      <c r="E97" s="23">
        <v>140</v>
      </c>
      <c r="F97" s="28"/>
      <c r="G97" s="23">
        <v>2</v>
      </c>
      <c r="H97" s="26"/>
      <c r="I97" s="26"/>
      <c r="J97" s="26"/>
      <c r="K97" s="26"/>
    </row>
    <row r="98" spans="1:11" s="10" customFormat="1" x14ac:dyDescent="0.2">
      <c r="A98" s="28"/>
      <c r="B98" s="85">
        <v>324</v>
      </c>
      <c r="C98" s="28" t="s">
        <v>737</v>
      </c>
      <c r="D98" s="23" t="s">
        <v>597</v>
      </c>
      <c r="E98" s="23">
        <v>140</v>
      </c>
      <c r="F98" s="28"/>
      <c r="G98" s="23">
        <v>2</v>
      </c>
      <c r="H98" s="26"/>
      <c r="I98" s="26"/>
      <c r="J98" s="26"/>
      <c r="K98" s="26"/>
    </row>
    <row r="99" spans="1:11" s="10" customFormat="1" x14ac:dyDescent="0.2">
      <c r="A99" s="28"/>
      <c r="B99" s="85">
        <v>325</v>
      </c>
      <c r="C99" s="28" t="s">
        <v>732</v>
      </c>
      <c r="D99" s="23" t="s">
        <v>559</v>
      </c>
      <c r="E99" s="23">
        <v>160</v>
      </c>
      <c r="F99" s="28"/>
      <c r="G99" s="23">
        <v>2</v>
      </c>
      <c r="H99" s="26"/>
      <c r="I99" s="26"/>
      <c r="J99" s="26"/>
      <c r="K99" s="26"/>
    </row>
    <row r="100" spans="1:11" s="10" customFormat="1" x14ac:dyDescent="0.2">
      <c r="A100" s="28"/>
      <c r="B100" s="85">
        <v>326</v>
      </c>
      <c r="C100" s="28" t="s">
        <v>733</v>
      </c>
      <c r="D100" s="23" t="s">
        <v>560</v>
      </c>
      <c r="E100" s="23">
        <v>160</v>
      </c>
      <c r="F100" s="28"/>
      <c r="G100" s="23">
        <v>2</v>
      </c>
      <c r="H100" s="26"/>
      <c r="I100" s="26"/>
      <c r="J100" s="26"/>
      <c r="K100" s="26"/>
    </row>
    <row r="101" spans="1:11" s="10" customFormat="1" x14ac:dyDescent="0.2">
      <c r="A101" s="28"/>
      <c r="B101" s="85">
        <v>327</v>
      </c>
      <c r="C101" s="28" t="s">
        <v>736</v>
      </c>
      <c r="D101" s="23" t="s">
        <v>561</v>
      </c>
      <c r="E101" s="23">
        <v>160</v>
      </c>
      <c r="F101" s="28"/>
      <c r="G101" s="23">
        <v>2</v>
      </c>
      <c r="H101" s="26"/>
      <c r="I101" s="26"/>
      <c r="J101" s="26"/>
      <c r="K101" s="26"/>
    </row>
    <row r="102" spans="1:11" s="10" customFormat="1" x14ac:dyDescent="0.2">
      <c r="A102" s="28"/>
      <c r="B102" s="85">
        <v>331</v>
      </c>
      <c r="C102" s="28" t="s">
        <v>734</v>
      </c>
      <c r="D102" s="23" t="s">
        <v>558</v>
      </c>
      <c r="E102" s="23">
        <v>150</v>
      </c>
      <c r="F102" s="28"/>
      <c r="G102" s="23">
        <v>1</v>
      </c>
      <c r="H102" s="26"/>
      <c r="I102" s="26"/>
      <c r="J102" s="26"/>
      <c r="K102" s="26"/>
    </row>
    <row r="103" spans="1:11" s="10" customFormat="1" x14ac:dyDescent="0.2">
      <c r="A103" s="28"/>
      <c r="B103" s="85">
        <v>332</v>
      </c>
      <c r="C103" s="28" t="s">
        <v>735</v>
      </c>
      <c r="D103" s="23" t="s">
        <v>558</v>
      </c>
      <c r="E103" s="23">
        <v>150</v>
      </c>
      <c r="F103" s="28"/>
      <c r="G103" s="23">
        <v>1</v>
      </c>
      <c r="H103" s="26"/>
      <c r="I103" s="26"/>
      <c r="J103" s="26"/>
      <c r="K103" s="26"/>
    </row>
    <row r="104" spans="1:11" s="10" customFormat="1" x14ac:dyDescent="0.2">
      <c r="A104" s="28"/>
      <c r="B104" s="84">
        <v>6199</v>
      </c>
      <c r="C104" s="28" t="s">
        <v>608</v>
      </c>
      <c r="D104" s="23" t="s">
        <v>558</v>
      </c>
      <c r="E104" s="23">
        <v>55</v>
      </c>
      <c r="F104" s="28"/>
      <c r="G104" s="23">
        <v>1</v>
      </c>
      <c r="H104" s="26"/>
      <c r="I104" s="26"/>
      <c r="J104" s="26"/>
      <c r="K104" s="26"/>
    </row>
    <row r="105" spans="1:11" s="10" customFormat="1" x14ac:dyDescent="0.2">
      <c r="A105" s="28"/>
      <c r="B105" s="84">
        <v>6945</v>
      </c>
      <c r="C105" s="28" t="s">
        <v>908</v>
      </c>
      <c r="D105" s="23" t="s">
        <v>558</v>
      </c>
      <c r="E105" s="23">
        <v>45</v>
      </c>
      <c r="F105" s="28"/>
      <c r="G105" s="23">
        <v>1</v>
      </c>
      <c r="H105" s="26"/>
      <c r="I105" s="26"/>
      <c r="J105" s="26"/>
      <c r="K105" s="26"/>
    </row>
    <row r="106" spans="1:11" s="10" customFormat="1" x14ac:dyDescent="0.2">
      <c r="A106" s="28"/>
      <c r="B106" s="85">
        <v>5407</v>
      </c>
      <c r="C106" s="28" t="s">
        <v>726</v>
      </c>
      <c r="D106" s="23" t="s">
        <v>558</v>
      </c>
      <c r="E106" s="23">
        <v>35</v>
      </c>
      <c r="F106" s="28"/>
      <c r="G106" s="23">
        <v>1</v>
      </c>
      <c r="H106" s="26"/>
      <c r="I106" s="26"/>
      <c r="J106" s="26"/>
      <c r="K106" s="26"/>
    </row>
    <row r="107" spans="1:11" s="10" customFormat="1" x14ac:dyDescent="0.2">
      <c r="A107" s="28"/>
      <c r="B107" s="85">
        <v>449</v>
      </c>
      <c r="C107" s="28" t="s">
        <v>739</v>
      </c>
      <c r="D107" s="23" t="s">
        <v>558</v>
      </c>
      <c r="E107" s="23">
        <v>900</v>
      </c>
      <c r="F107" s="28"/>
      <c r="G107" s="23">
        <v>1</v>
      </c>
      <c r="H107" s="26"/>
      <c r="I107" s="26"/>
      <c r="J107" s="26"/>
      <c r="K107" s="26"/>
    </row>
    <row r="108" spans="1:11" s="10" customFormat="1" x14ac:dyDescent="0.2">
      <c r="A108" s="28"/>
      <c r="B108" s="85">
        <v>450</v>
      </c>
      <c r="C108" s="28" t="s">
        <v>740</v>
      </c>
      <c r="D108" s="23" t="s">
        <v>558</v>
      </c>
      <c r="E108" s="23">
        <v>900</v>
      </c>
      <c r="F108" s="28"/>
      <c r="G108" s="23">
        <v>1</v>
      </c>
      <c r="H108" s="26"/>
      <c r="I108" s="26"/>
      <c r="J108" s="26"/>
      <c r="K108" s="26"/>
    </row>
    <row r="109" spans="1:11" s="10" customFormat="1" x14ac:dyDescent="0.2">
      <c r="A109" s="28"/>
      <c r="B109" s="85">
        <v>451</v>
      </c>
      <c r="C109" s="28" t="s">
        <v>741</v>
      </c>
      <c r="D109" s="23" t="s">
        <v>558</v>
      </c>
      <c r="E109" s="23">
        <v>85</v>
      </c>
      <c r="F109" s="28"/>
      <c r="G109" s="23">
        <v>2</v>
      </c>
      <c r="H109" s="26"/>
      <c r="I109" s="26"/>
      <c r="J109" s="26"/>
      <c r="K109" s="26"/>
    </row>
    <row r="110" spans="1:11" s="10" customFormat="1" x14ac:dyDescent="0.2">
      <c r="A110" s="28"/>
      <c r="B110" s="85">
        <v>498</v>
      </c>
      <c r="C110" s="28" t="s">
        <v>742</v>
      </c>
      <c r="D110" s="23" t="s">
        <v>558</v>
      </c>
      <c r="E110" s="23">
        <v>85</v>
      </c>
      <c r="F110" s="28"/>
      <c r="G110" s="23">
        <v>1</v>
      </c>
      <c r="H110" s="26"/>
      <c r="I110" s="26"/>
      <c r="J110" s="26"/>
      <c r="K110" s="26"/>
    </row>
    <row r="111" spans="1:11" s="10" customFormat="1" x14ac:dyDescent="0.2">
      <c r="A111" s="28"/>
      <c r="B111" s="85">
        <v>505</v>
      </c>
      <c r="C111" s="28" t="s">
        <v>846</v>
      </c>
      <c r="D111" s="23" t="s">
        <v>562</v>
      </c>
      <c r="E111" s="23">
        <v>295</v>
      </c>
      <c r="F111" s="28"/>
      <c r="G111" s="23">
        <v>2</v>
      </c>
      <c r="H111" s="26"/>
      <c r="I111" s="26"/>
      <c r="J111" s="26"/>
      <c r="K111" s="26"/>
    </row>
    <row r="112" spans="1:11" s="10" customFormat="1" x14ac:dyDescent="0.2">
      <c r="A112" s="28"/>
      <c r="B112" s="85">
        <v>506</v>
      </c>
      <c r="C112" s="28" t="s">
        <v>847</v>
      </c>
      <c r="D112" s="23" t="s">
        <v>563</v>
      </c>
      <c r="E112" s="23">
        <v>295</v>
      </c>
      <c r="F112" s="28"/>
      <c r="G112" s="23">
        <v>2</v>
      </c>
      <c r="H112" s="26"/>
      <c r="I112" s="26"/>
      <c r="J112" s="26"/>
      <c r="K112" s="26"/>
    </row>
    <row r="113" spans="1:11" s="10" customFormat="1" x14ac:dyDescent="0.2">
      <c r="A113" s="28"/>
      <c r="B113" s="85">
        <v>507</v>
      </c>
      <c r="C113" s="28" t="s">
        <v>848</v>
      </c>
      <c r="D113" s="23" t="s">
        <v>564</v>
      </c>
      <c r="E113" s="23">
        <v>295</v>
      </c>
      <c r="F113" s="28"/>
      <c r="G113" s="23">
        <v>2</v>
      </c>
      <c r="H113" s="26"/>
      <c r="I113" s="26"/>
      <c r="J113" s="26"/>
      <c r="K113" s="26"/>
    </row>
    <row r="114" spans="1:11" s="10" customFormat="1" x14ac:dyDescent="0.2">
      <c r="A114" s="28"/>
      <c r="B114" s="85">
        <v>508</v>
      </c>
      <c r="C114" s="28" t="s">
        <v>849</v>
      </c>
      <c r="D114" s="23" t="s">
        <v>565</v>
      </c>
      <c r="E114" s="23">
        <v>295</v>
      </c>
      <c r="F114" s="28"/>
      <c r="G114" s="23">
        <v>2</v>
      </c>
      <c r="H114" s="26"/>
      <c r="I114" s="26"/>
      <c r="J114" s="26"/>
      <c r="K114" s="26"/>
    </row>
    <row r="115" spans="1:11" s="10" customFormat="1" x14ac:dyDescent="0.2">
      <c r="A115" s="28"/>
      <c r="B115" s="85">
        <v>509</v>
      </c>
      <c r="C115" s="28" t="s">
        <v>850</v>
      </c>
      <c r="D115" s="23" t="s">
        <v>566</v>
      </c>
      <c r="E115" s="23">
        <v>295</v>
      </c>
      <c r="F115" s="28"/>
      <c r="G115" s="23">
        <v>2</v>
      </c>
      <c r="H115" s="26"/>
      <c r="I115" s="26"/>
      <c r="J115" s="26"/>
      <c r="K115" s="26"/>
    </row>
    <row r="116" spans="1:11" s="10" customFormat="1" x14ac:dyDescent="0.2">
      <c r="A116" s="28"/>
      <c r="B116" s="85">
        <v>510</v>
      </c>
      <c r="C116" s="28" t="s">
        <v>851</v>
      </c>
      <c r="D116" s="23" t="s">
        <v>567</v>
      </c>
      <c r="E116" s="23">
        <v>295</v>
      </c>
      <c r="F116" s="28"/>
      <c r="G116" s="23">
        <v>2</v>
      </c>
      <c r="H116" s="26"/>
      <c r="I116" s="26"/>
      <c r="J116" s="26"/>
      <c r="K116" s="26"/>
    </row>
    <row r="117" spans="1:11" s="10" customFormat="1" x14ac:dyDescent="0.2">
      <c r="A117" s="28"/>
      <c r="B117" s="85">
        <v>511</v>
      </c>
      <c r="C117" s="28" t="s">
        <v>852</v>
      </c>
      <c r="D117" s="23" t="s">
        <v>568</v>
      </c>
      <c r="E117" s="23">
        <v>295</v>
      </c>
      <c r="F117" s="28"/>
      <c r="G117" s="23">
        <v>2</v>
      </c>
      <c r="H117" s="26"/>
      <c r="I117" s="26"/>
      <c r="J117" s="26"/>
      <c r="K117" s="26"/>
    </row>
    <row r="118" spans="1:11" s="10" customFormat="1" x14ac:dyDescent="0.2">
      <c r="A118" s="28"/>
      <c r="B118" s="85">
        <v>3820</v>
      </c>
      <c r="C118" s="28" t="s">
        <v>839</v>
      </c>
      <c r="D118" s="23" t="s">
        <v>569</v>
      </c>
      <c r="E118" s="23">
        <v>295</v>
      </c>
      <c r="F118" s="28"/>
      <c r="G118" s="23">
        <v>2</v>
      </c>
      <c r="H118" s="26"/>
      <c r="I118" s="26"/>
      <c r="J118" s="26"/>
      <c r="K118" s="26"/>
    </row>
    <row r="119" spans="1:11" s="10" customFormat="1" x14ac:dyDescent="0.2">
      <c r="A119" s="28"/>
      <c r="B119" s="85">
        <v>519</v>
      </c>
      <c r="C119" s="28" t="s">
        <v>743</v>
      </c>
      <c r="D119" s="23" t="s">
        <v>568</v>
      </c>
      <c r="E119" s="23">
        <v>230</v>
      </c>
      <c r="F119" s="28"/>
      <c r="G119" s="23">
        <v>2</v>
      </c>
      <c r="H119" s="26"/>
      <c r="I119" s="26"/>
      <c r="J119" s="26"/>
      <c r="K119" s="26"/>
    </row>
    <row r="120" spans="1:11" s="10" customFormat="1" x14ac:dyDescent="0.2">
      <c r="A120" s="28"/>
      <c r="B120" s="85">
        <v>520</v>
      </c>
      <c r="C120" s="28" t="s">
        <v>744</v>
      </c>
      <c r="D120" s="23" t="s">
        <v>569</v>
      </c>
      <c r="E120" s="23">
        <v>230</v>
      </c>
      <c r="F120" s="28"/>
      <c r="G120" s="23">
        <v>2</v>
      </c>
      <c r="H120" s="26"/>
      <c r="I120" s="26"/>
      <c r="J120" s="26"/>
      <c r="K120" s="26"/>
    </row>
    <row r="121" spans="1:11" s="10" customFormat="1" x14ac:dyDescent="0.2">
      <c r="A121" s="28"/>
      <c r="B121" s="85">
        <v>521</v>
      </c>
      <c r="C121" s="28" t="s">
        <v>745</v>
      </c>
      <c r="D121" s="23" t="s">
        <v>571</v>
      </c>
      <c r="E121" s="23">
        <v>230</v>
      </c>
      <c r="F121" s="28"/>
      <c r="G121" s="23">
        <v>2</v>
      </c>
      <c r="H121" s="26"/>
      <c r="I121" s="26"/>
      <c r="J121" s="26"/>
      <c r="K121" s="26"/>
    </row>
    <row r="122" spans="1:11" s="10" customFormat="1" x14ac:dyDescent="0.2">
      <c r="A122" s="28"/>
      <c r="B122" s="85">
        <v>522</v>
      </c>
      <c r="C122" s="28" t="s">
        <v>853</v>
      </c>
      <c r="D122" s="23" t="s">
        <v>572</v>
      </c>
      <c r="E122" s="23">
        <v>300</v>
      </c>
      <c r="F122" s="28"/>
      <c r="G122" s="23">
        <v>2</v>
      </c>
      <c r="H122" s="26"/>
      <c r="I122" s="26"/>
      <c r="J122" s="26"/>
      <c r="K122" s="26"/>
    </row>
    <row r="123" spans="1:11" s="10" customFormat="1" x14ac:dyDescent="0.2">
      <c r="A123" s="28"/>
      <c r="B123" s="85">
        <v>523</v>
      </c>
      <c r="C123" s="28" t="s">
        <v>854</v>
      </c>
      <c r="D123" s="23" t="s">
        <v>573</v>
      </c>
      <c r="E123" s="23">
        <v>300</v>
      </c>
      <c r="F123" s="28"/>
      <c r="G123" s="23">
        <v>2</v>
      </c>
      <c r="H123" s="26"/>
      <c r="I123" s="26"/>
      <c r="J123" s="26"/>
      <c r="K123" s="26"/>
    </row>
    <row r="124" spans="1:11" s="10" customFormat="1" x14ac:dyDescent="0.2">
      <c r="A124" s="28"/>
      <c r="B124" s="85">
        <v>524</v>
      </c>
      <c r="C124" s="28" t="s">
        <v>855</v>
      </c>
      <c r="D124" s="23" t="s">
        <v>574</v>
      </c>
      <c r="E124" s="23">
        <v>300</v>
      </c>
      <c r="F124" s="28"/>
      <c r="G124" s="23">
        <v>2</v>
      </c>
      <c r="H124" s="26"/>
      <c r="I124" s="26"/>
      <c r="J124" s="26"/>
      <c r="K124" s="26"/>
    </row>
    <row r="125" spans="1:11" s="10" customFormat="1" x14ac:dyDescent="0.2">
      <c r="A125" s="28"/>
      <c r="B125" s="85">
        <v>525</v>
      </c>
      <c r="C125" s="28" t="s">
        <v>856</v>
      </c>
      <c r="D125" s="23" t="s">
        <v>575</v>
      </c>
      <c r="E125" s="23">
        <v>230</v>
      </c>
      <c r="F125" s="28"/>
      <c r="G125" s="23">
        <v>2</v>
      </c>
      <c r="H125" s="26"/>
      <c r="I125" s="26"/>
      <c r="J125" s="26"/>
      <c r="K125" s="26"/>
    </row>
    <row r="126" spans="1:11" x14ac:dyDescent="0.2">
      <c r="B126" s="85">
        <v>5422</v>
      </c>
      <c r="C126" s="28" t="s">
        <v>858</v>
      </c>
      <c r="D126" s="23" t="s">
        <v>558</v>
      </c>
      <c r="E126" s="23">
        <v>300</v>
      </c>
      <c r="G126" s="23">
        <v>2</v>
      </c>
    </row>
    <row r="127" spans="1:11" x14ac:dyDescent="0.2">
      <c r="B127" s="85">
        <v>5423</v>
      </c>
      <c r="C127" s="28" t="s">
        <v>859</v>
      </c>
      <c r="D127" s="23" t="s">
        <v>558</v>
      </c>
      <c r="E127" s="23">
        <v>300</v>
      </c>
      <c r="G127" s="23">
        <v>2</v>
      </c>
    </row>
    <row r="128" spans="1:11" x14ac:dyDescent="0.2">
      <c r="B128" s="85">
        <v>5424</v>
      </c>
      <c r="C128" s="28" t="s">
        <v>860</v>
      </c>
      <c r="D128" s="23" t="s">
        <v>558</v>
      </c>
      <c r="E128" s="23">
        <v>300</v>
      </c>
      <c r="G128" s="23">
        <v>2</v>
      </c>
    </row>
    <row r="129" spans="2:7" x14ac:dyDescent="0.2">
      <c r="B129" s="85">
        <v>5425</v>
      </c>
      <c r="C129" s="28" t="s">
        <v>861</v>
      </c>
      <c r="D129" s="23" t="s">
        <v>558</v>
      </c>
      <c r="E129" s="23">
        <v>300</v>
      </c>
      <c r="G129" s="23">
        <v>2</v>
      </c>
    </row>
    <row r="130" spans="2:7" x14ac:dyDescent="0.2">
      <c r="B130" s="85">
        <v>5426</v>
      </c>
      <c r="C130" s="28" t="s">
        <v>862</v>
      </c>
      <c r="D130" s="23" t="s">
        <v>558</v>
      </c>
      <c r="E130" s="23">
        <v>300</v>
      </c>
      <c r="G130" s="23">
        <v>2</v>
      </c>
    </row>
    <row r="131" spans="2:7" x14ac:dyDescent="0.2">
      <c r="B131" s="85">
        <v>5427</v>
      </c>
      <c r="C131" s="28" t="s">
        <v>863</v>
      </c>
      <c r="D131" s="23" t="s">
        <v>558</v>
      </c>
      <c r="E131" s="23">
        <v>300</v>
      </c>
      <c r="G131" s="23">
        <v>2</v>
      </c>
    </row>
    <row r="132" spans="2:7" x14ac:dyDescent="0.2">
      <c r="B132" s="85">
        <v>5428</v>
      </c>
      <c r="C132" s="28" t="s">
        <v>864</v>
      </c>
      <c r="D132" s="23" t="s">
        <v>558</v>
      </c>
      <c r="E132" s="23">
        <v>300</v>
      </c>
      <c r="G132" s="23">
        <v>2</v>
      </c>
    </row>
    <row r="133" spans="2:7" x14ac:dyDescent="0.2">
      <c r="B133" s="85">
        <v>5429</v>
      </c>
      <c r="C133" s="28" t="s">
        <v>865</v>
      </c>
      <c r="D133" s="23" t="s">
        <v>558</v>
      </c>
      <c r="E133" s="23">
        <v>300</v>
      </c>
      <c r="G133" s="23">
        <v>2</v>
      </c>
    </row>
    <row r="134" spans="2:7" x14ac:dyDescent="0.2">
      <c r="B134" s="85">
        <v>5430</v>
      </c>
      <c r="C134" s="28" t="s">
        <v>866</v>
      </c>
      <c r="D134" s="23" t="s">
        <v>558</v>
      </c>
      <c r="E134" s="23">
        <v>300</v>
      </c>
      <c r="G134" s="23">
        <v>2</v>
      </c>
    </row>
    <row r="135" spans="2:7" x14ac:dyDescent="0.2">
      <c r="B135" s="85">
        <v>5431</v>
      </c>
      <c r="C135" s="28" t="s">
        <v>867</v>
      </c>
      <c r="D135" s="23" t="s">
        <v>558</v>
      </c>
      <c r="E135" s="23">
        <v>300</v>
      </c>
      <c r="G135" s="23">
        <v>2</v>
      </c>
    </row>
    <row r="136" spans="2:7" x14ac:dyDescent="0.2">
      <c r="B136" s="85">
        <v>5432</v>
      </c>
      <c r="C136" s="28" t="s">
        <v>868</v>
      </c>
      <c r="D136" s="23" t="s">
        <v>558</v>
      </c>
      <c r="E136" s="23">
        <v>300</v>
      </c>
      <c r="G136" s="23">
        <v>2</v>
      </c>
    </row>
    <row r="137" spans="2:7" x14ac:dyDescent="0.2">
      <c r="B137" s="85">
        <v>688</v>
      </c>
      <c r="C137" s="28" t="s">
        <v>747</v>
      </c>
      <c r="D137" s="23" t="s">
        <v>558</v>
      </c>
      <c r="E137" s="23">
        <v>1800</v>
      </c>
      <c r="G137" s="23">
        <v>2</v>
      </c>
    </row>
    <row r="138" spans="2:7" x14ac:dyDescent="0.2">
      <c r="B138" s="85">
        <v>808</v>
      </c>
      <c r="C138" s="28" t="s">
        <v>748</v>
      </c>
      <c r="D138" s="23" t="s">
        <v>558</v>
      </c>
      <c r="E138" s="23">
        <v>125</v>
      </c>
      <c r="G138" s="23">
        <v>2</v>
      </c>
    </row>
    <row r="139" spans="2:7" x14ac:dyDescent="0.2">
      <c r="B139" s="85">
        <v>809</v>
      </c>
      <c r="C139" s="28" t="s">
        <v>749</v>
      </c>
      <c r="D139" s="23" t="s">
        <v>596</v>
      </c>
      <c r="E139" s="23">
        <v>350</v>
      </c>
      <c r="G139" s="23">
        <v>2</v>
      </c>
    </row>
    <row r="140" spans="2:7" x14ac:dyDescent="0.2">
      <c r="B140" s="85">
        <v>810</v>
      </c>
      <c r="C140" s="28" t="s">
        <v>750</v>
      </c>
      <c r="D140" s="23" t="s">
        <v>595</v>
      </c>
      <c r="E140" s="23">
        <v>350</v>
      </c>
      <c r="G140" s="23">
        <v>2</v>
      </c>
    </row>
    <row r="141" spans="2:7" x14ac:dyDescent="0.2">
      <c r="B141" s="85">
        <v>811</v>
      </c>
      <c r="C141" s="28" t="s">
        <v>751</v>
      </c>
      <c r="D141" s="23" t="s">
        <v>594</v>
      </c>
      <c r="E141" s="23">
        <v>350</v>
      </c>
      <c r="G141" s="23">
        <v>2</v>
      </c>
    </row>
    <row r="142" spans="2:7" x14ac:dyDescent="0.2">
      <c r="B142" s="85">
        <v>812</v>
      </c>
      <c r="C142" s="28" t="s">
        <v>752</v>
      </c>
      <c r="D142" s="23" t="s">
        <v>597</v>
      </c>
      <c r="E142" s="23">
        <v>350</v>
      </c>
      <c r="G142" s="23">
        <v>2</v>
      </c>
    </row>
    <row r="143" spans="2:7" x14ac:dyDescent="0.2">
      <c r="B143" s="85">
        <v>820</v>
      </c>
      <c r="C143" s="28" t="s">
        <v>753</v>
      </c>
      <c r="D143" s="23" t="s">
        <v>596</v>
      </c>
      <c r="E143" s="23">
        <v>300</v>
      </c>
      <c r="G143" s="23">
        <v>2</v>
      </c>
    </row>
    <row r="144" spans="2:7" x14ac:dyDescent="0.2">
      <c r="B144" s="85">
        <v>821</v>
      </c>
      <c r="C144" s="28" t="s">
        <v>754</v>
      </c>
      <c r="D144" s="23" t="s">
        <v>595</v>
      </c>
      <c r="E144" s="23">
        <v>300</v>
      </c>
      <c r="G144" s="23">
        <v>2</v>
      </c>
    </row>
    <row r="145" spans="2:7" x14ac:dyDescent="0.2">
      <c r="B145" s="85">
        <v>822</v>
      </c>
      <c r="C145" s="28" t="s">
        <v>755</v>
      </c>
      <c r="D145" s="23" t="s">
        <v>594</v>
      </c>
      <c r="E145" s="23">
        <v>300</v>
      </c>
      <c r="G145" s="23">
        <v>2</v>
      </c>
    </row>
    <row r="146" spans="2:7" x14ac:dyDescent="0.2">
      <c r="B146" s="85">
        <v>823</v>
      </c>
      <c r="C146" s="28" t="s">
        <v>756</v>
      </c>
      <c r="D146" s="23" t="s">
        <v>597</v>
      </c>
      <c r="E146" s="23">
        <v>300</v>
      </c>
      <c r="G146" s="23">
        <v>2</v>
      </c>
    </row>
    <row r="147" spans="2:7" x14ac:dyDescent="0.2">
      <c r="B147" s="85">
        <v>5435</v>
      </c>
      <c r="C147" s="28" t="s">
        <v>870</v>
      </c>
      <c r="D147" s="23" t="s">
        <v>558</v>
      </c>
      <c r="E147" s="23">
        <v>420</v>
      </c>
      <c r="G147" s="23">
        <v>2</v>
      </c>
    </row>
    <row r="148" spans="2:7" x14ac:dyDescent="0.2">
      <c r="B148" s="85">
        <v>5434</v>
      </c>
      <c r="C148" s="28" t="s">
        <v>869</v>
      </c>
      <c r="D148" s="23" t="s">
        <v>558</v>
      </c>
      <c r="E148" s="23">
        <v>420</v>
      </c>
      <c r="G148" s="23">
        <v>2</v>
      </c>
    </row>
    <row r="149" spans="2:7" x14ac:dyDescent="0.2">
      <c r="B149" s="85">
        <v>5438</v>
      </c>
      <c r="C149" s="28" t="s">
        <v>873</v>
      </c>
      <c r="D149" s="23" t="s">
        <v>558</v>
      </c>
      <c r="E149" s="23">
        <v>420</v>
      </c>
      <c r="G149" s="23">
        <v>2</v>
      </c>
    </row>
    <row r="150" spans="2:7" x14ac:dyDescent="0.2">
      <c r="B150" s="85">
        <v>5437</v>
      </c>
      <c r="C150" s="28" t="s">
        <v>872</v>
      </c>
      <c r="D150" s="23" t="s">
        <v>558</v>
      </c>
      <c r="E150" s="23">
        <v>420</v>
      </c>
      <c r="G150" s="23">
        <v>2</v>
      </c>
    </row>
    <row r="151" spans="2:7" x14ac:dyDescent="0.2">
      <c r="B151" s="85">
        <v>5436</v>
      </c>
      <c r="C151" s="28" t="s">
        <v>871</v>
      </c>
      <c r="D151" s="23" t="s">
        <v>558</v>
      </c>
      <c r="E151" s="23">
        <v>420</v>
      </c>
      <c r="G151" s="23">
        <v>2</v>
      </c>
    </row>
    <row r="152" spans="2:7" x14ac:dyDescent="0.2">
      <c r="B152" s="85">
        <v>824</v>
      </c>
      <c r="C152" s="28" t="s">
        <v>757</v>
      </c>
      <c r="D152" s="23" t="s">
        <v>558</v>
      </c>
      <c r="E152" s="23">
        <v>125</v>
      </c>
      <c r="G152" s="23">
        <v>2</v>
      </c>
    </row>
    <row r="153" spans="2:7" x14ac:dyDescent="0.2">
      <c r="B153" s="85">
        <v>825</v>
      </c>
      <c r="C153" s="28" t="s">
        <v>758</v>
      </c>
      <c r="D153" s="23" t="s">
        <v>596</v>
      </c>
      <c r="E153" s="23">
        <v>1000</v>
      </c>
      <c r="G153" s="23">
        <v>2</v>
      </c>
    </row>
    <row r="154" spans="2:7" x14ac:dyDescent="0.2">
      <c r="B154" s="85">
        <v>826</v>
      </c>
      <c r="C154" s="28" t="s">
        <v>759</v>
      </c>
      <c r="D154" s="23" t="s">
        <v>576</v>
      </c>
      <c r="E154" s="23">
        <v>1000</v>
      </c>
      <c r="G154" s="23">
        <v>2</v>
      </c>
    </row>
    <row r="155" spans="2:7" x14ac:dyDescent="0.2">
      <c r="B155" s="85">
        <v>827</v>
      </c>
      <c r="C155" s="28" t="s">
        <v>760</v>
      </c>
      <c r="D155" s="23" t="s">
        <v>595</v>
      </c>
      <c r="E155" s="23">
        <v>1000</v>
      </c>
      <c r="G155" s="23">
        <v>2</v>
      </c>
    </row>
    <row r="156" spans="2:7" x14ac:dyDescent="0.2">
      <c r="B156" s="85">
        <v>828</v>
      </c>
      <c r="C156" s="28" t="s">
        <v>761</v>
      </c>
      <c r="D156" s="23" t="s">
        <v>594</v>
      </c>
      <c r="E156" s="23">
        <v>1000</v>
      </c>
      <c r="G156" s="23">
        <v>2</v>
      </c>
    </row>
    <row r="157" spans="2:7" x14ac:dyDescent="0.2">
      <c r="B157" s="85">
        <v>829</v>
      </c>
      <c r="C157" s="28" t="s">
        <v>762</v>
      </c>
      <c r="D157" s="23" t="s">
        <v>597</v>
      </c>
      <c r="E157" s="23">
        <v>1000</v>
      </c>
      <c r="G157" s="23">
        <v>2</v>
      </c>
    </row>
    <row r="158" spans="2:7" x14ac:dyDescent="0.2">
      <c r="B158" s="85">
        <v>6163</v>
      </c>
      <c r="C158" s="28" t="s">
        <v>606</v>
      </c>
      <c r="D158" s="23" t="s">
        <v>586</v>
      </c>
      <c r="E158" s="23">
        <v>685</v>
      </c>
      <c r="G158" s="23">
        <v>2</v>
      </c>
    </row>
    <row r="159" spans="2:7" x14ac:dyDescent="0.2">
      <c r="B159" s="85">
        <v>6164</v>
      </c>
      <c r="C159" s="28" t="s">
        <v>606</v>
      </c>
      <c r="D159" s="23" t="s">
        <v>587</v>
      </c>
      <c r="E159" s="23">
        <v>685</v>
      </c>
      <c r="G159" s="23">
        <v>2</v>
      </c>
    </row>
    <row r="160" spans="2:7" x14ac:dyDescent="0.2">
      <c r="B160" s="85">
        <v>6165</v>
      </c>
      <c r="C160" s="28" t="s">
        <v>606</v>
      </c>
      <c r="D160" s="23" t="s">
        <v>588</v>
      </c>
      <c r="E160" s="23">
        <v>685</v>
      </c>
      <c r="G160" s="23">
        <v>2</v>
      </c>
    </row>
    <row r="161" spans="2:7" x14ac:dyDescent="0.2">
      <c r="B161" s="85">
        <v>6166</v>
      </c>
      <c r="C161" s="28" t="s">
        <v>606</v>
      </c>
      <c r="D161" s="23" t="s">
        <v>590</v>
      </c>
      <c r="E161" s="23">
        <v>685</v>
      </c>
      <c r="G161" s="23">
        <v>2</v>
      </c>
    </row>
    <row r="162" spans="2:7" x14ac:dyDescent="0.2">
      <c r="B162" s="85">
        <v>6167</v>
      </c>
      <c r="C162" s="28" t="s">
        <v>606</v>
      </c>
      <c r="D162" s="23" t="s">
        <v>589</v>
      </c>
      <c r="E162" s="23">
        <v>685</v>
      </c>
      <c r="G162" s="23">
        <v>2</v>
      </c>
    </row>
    <row r="163" spans="2:7" x14ac:dyDescent="0.2">
      <c r="B163" s="85">
        <v>5404</v>
      </c>
      <c r="C163" s="28" t="s">
        <v>857</v>
      </c>
      <c r="D163" s="23" t="s">
        <v>558</v>
      </c>
      <c r="E163" s="23">
        <v>25</v>
      </c>
      <c r="G163" s="23">
        <v>1</v>
      </c>
    </row>
    <row r="164" spans="2:7" x14ac:dyDescent="0.2">
      <c r="B164" s="85">
        <v>5403</v>
      </c>
      <c r="C164" s="28" t="s">
        <v>725</v>
      </c>
      <c r="D164" s="23" t="s">
        <v>558</v>
      </c>
      <c r="E164" s="23">
        <v>35</v>
      </c>
      <c r="G164" s="23">
        <v>1</v>
      </c>
    </row>
    <row r="165" spans="2:7" x14ac:dyDescent="0.2">
      <c r="B165" s="85">
        <v>5433</v>
      </c>
      <c r="C165" s="28" t="s">
        <v>727</v>
      </c>
      <c r="D165" s="23" t="s">
        <v>558</v>
      </c>
      <c r="E165" s="23">
        <v>120</v>
      </c>
      <c r="G165" s="23">
        <v>2</v>
      </c>
    </row>
    <row r="166" spans="2:7" x14ac:dyDescent="0.2">
      <c r="B166" s="84">
        <v>5716</v>
      </c>
      <c r="C166" s="28" t="s">
        <v>904</v>
      </c>
      <c r="D166" s="23" t="s">
        <v>558</v>
      </c>
      <c r="E166" s="23">
        <v>385</v>
      </c>
      <c r="G166" s="23">
        <v>1</v>
      </c>
    </row>
    <row r="167" spans="2:7" x14ac:dyDescent="0.2">
      <c r="B167" s="85">
        <v>1026</v>
      </c>
      <c r="C167" s="28" t="s">
        <v>611</v>
      </c>
      <c r="D167" s="23" t="s">
        <v>558</v>
      </c>
      <c r="E167" s="23">
        <v>550</v>
      </c>
      <c r="G167" s="23">
        <v>1</v>
      </c>
    </row>
    <row r="168" spans="2:7" x14ac:dyDescent="0.2">
      <c r="B168" s="85">
        <v>3779</v>
      </c>
      <c r="C168" s="28" t="s">
        <v>709</v>
      </c>
      <c r="D168" s="23" t="s">
        <v>558</v>
      </c>
      <c r="E168" s="23">
        <v>340</v>
      </c>
      <c r="G168" s="23">
        <v>1</v>
      </c>
    </row>
    <row r="169" spans="2:7" x14ac:dyDescent="0.2">
      <c r="B169" s="85">
        <v>1146</v>
      </c>
      <c r="C169" s="28" t="s">
        <v>612</v>
      </c>
      <c r="D169" s="23" t="s">
        <v>558</v>
      </c>
      <c r="E169" s="23">
        <v>100</v>
      </c>
      <c r="G169" s="23">
        <v>1</v>
      </c>
    </row>
    <row r="170" spans="2:7" x14ac:dyDescent="0.2">
      <c r="B170" s="85">
        <v>1147</v>
      </c>
      <c r="C170" s="28" t="s">
        <v>613</v>
      </c>
      <c r="D170" s="23" t="s">
        <v>558</v>
      </c>
      <c r="E170" s="23">
        <v>100</v>
      </c>
      <c r="G170" s="23">
        <v>1</v>
      </c>
    </row>
    <row r="171" spans="2:7" x14ac:dyDescent="0.2">
      <c r="B171" s="85">
        <v>1148</v>
      </c>
      <c r="C171" s="28" t="s">
        <v>614</v>
      </c>
      <c r="D171" s="23" t="s">
        <v>558</v>
      </c>
      <c r="E171" s="23">
        <v>100</v>
      </c>
      <c r="G171" s="23">
        <v>1</v>
      </c>
    </row>
    <row r="172" spans="2:7" x14ac:dyDescent="0.2">
      <c r="B172" s="85">
        <v>1149</v>
      </c>
      <c r="C172" s="28" t="s">
        <v>615</v>
      </c>
      <c r="D172" s="23" t="s">
        <v>558</v>
      </c>
      <c r="E172" s="23">
        <v>70</v>
      </c>
      <c r="G172" s="23">
        <v>1</v>
      </c>
    </row>
    <row r="173" spans="2:7" x14ac:dyDescent="0.2">
      <c r="B173" s="85">
        <v>1150</v>
      </c>
      <c r="C173" s="28" t="s">
        <v>616</v>
      </c>
      <c r="D173" s="23" t="s">
        <v>558</v>
      </c>
      <c r="E173" s="23">
        <v>160</v>
      </c>
      <c r="G173" s="23">
        <v>1</v>
      </c>
    </row>
    <row r="174" spans="2:7" x14ac:dyDescent="0.2">
      <c r="B174" s="85">
        <v>1151</v>
      </c>
      <c r="C174" s="28" t="s">
        <v>617</v>
      </c>
      <c r="D174" s="23" t="s">
        <v>558</v>
      </c>
      <c r="E174" s="23">
        <v>110</v>
      </c>
      <c r="G174" s="23">
        <v>1</v>
      </c>
    </row>
    <row r="175" spans="2:7" x14ac:dyDescent="0.2">
      <c r="B175" s="85">
        <v>1164</v>
      </c>
      <c r="C175" s="28" t="s">
        <v>763</v>
      </c>
      <c r="D175" s="23" t="s">
        <v>558</v>
      </c>
      <c r="E175" s="23">
        <v>35</v>
      </c>
      <c r="G175" s="23">
        <v>1</v>
      </c>
    </row>
    <row r="176" spans="2:7" x14ac:dyDescent="0.2">
      <c r="B176" s="85">
        <v>4958</v>
      </c>
      <c r="C176" s="28" t="s">
        <v>899</v>
      </c>
      <c r="D176" s="23" t="s">
        <v>558</v>
      </c>
      <c r="E176" s="23">
        <v>70</v>
      </c>
      <c r="G176" s="23">
        <v>1</v>
      </c>
    </row>
    <row r="177" spans="2:7" x14ac:dyDescent="0.2">
      <c r="B177" s="85">
        <v>1169</v>
      </c>
      <c r="C177" s="28" t="s">
        <v>618</v>
      </c>
      <c r="D177" s="23" t="s">
        <v>558</v>
      </c>
      <c r="E177" s="23">
        <v>40</v>
      </c>
      <c r="G177" s="23">
        <v>2</v>
      </c>
    </row>
    <row r="178" spans="2:7" x14ac:dyDescent="0.2">
      <c r="B178" s="85">
        <v>1170</v>
      </c>
      <c r="C178" s="28" t="s">
        <v>619</v>
      </c>
      <c r="D178" s="23" t="s">
        <v>558</v>
      </c>
      <c r="E178" s="23">
        <v>40</v>
      </c>
      <c r="G178" s="23">
        <v>2</v>
      </c>
    </row>
    <row r="179" spans="2:7" x14ac:dyDescent="0.2">
      <c r="B179" s="85">
        <v>1174</v>
      </c>
      <c r="C179" s="28" t="s">
        <v>764</v>
      </c>
      <c r="D179" s="23" t="s">
        <v>558</v>
      </c>
      <c r="E179" s="23">
        <v>50</v>
      </c>
      <c r="G179" s="23">
        <v>2</v>
      </c>
    </row>
    <row r="180" spans="2:7" x14ac:dyDescent="0.2">
      <c r="B180" s="85">
        <v>1175</v>
      </c>
      <c r="C180" s="28" t="s">
        <v>765</v>
      </c>
      <c r="D180" s="23" t="s">
        <v>558</v>
      </c>
      <c r="E180" s="23">
        <v>70</v>
      </c>
      <c r="G180" s="23">
        <v>2</v>
      </c>
    </row>
    <row r="181" spans="2:7" x14ac:dyDescent="0.2">
      <c r="B181" s="85">
        <v>1203</v>
      </c>
      <c r="C181" s="28" t="s">
        <v>620</v>
      </c>
      <c r="D181" s="23" t="s">
        <v>558</v>
      </c>
      <c r="E181" s="23">
        <v>17</v>
      </c>
      <c r="G181" s="23">
        <v>1</v>
      </c>
    </row>
    <row r="182" spans="2:7" x14ac:dyDescent="0.2">
      <c r="B182" s="85">
        <v>6190</v>
      </c>
      <c r="C182" s="28" t="s">
        <v>913</v>
      </c>
      <c r="D182" s="23" t="s">
        <v>558</v>
      </c>
      <c r="E182" s="23">
        <v>350</v>
      </c>
      <c r="G182" s="23">
        <v>2</v>
      </c>
    </row>
    <row r="183" spans="2:7" x14ac:dyDescent="0.2">
      <c r="B183" s="85">
        <v>1375</v>
      </c>
      <c r="C183" s="28" t="s">
        <v>621</v>
      </c>
      <c r="D183" s="23" t="s">
        <v>577</v>
      </c>
      <c r="E183" s="23">
        <v>330</v>
      </c>
      <c r="G183" s="23">
        <v>2</v>
      </c>
    </row>
    <row r="184" spans="2:7" x14ac:dyDescent="0.2">
      <c r="B184" s="85">
        <v>1376</v>
      </c>
      <c r="C184" s="28" t="s">
        <v>622</v>
      </c>
      <c r="D184" s="23" t="s">
        <v>578</v>
      </c>
      <c r="E184" s="23">
        <v>330</v>
      </c>
      <c r="G184" s="23">
        <v>2</v>
      </c>
    </row>
    <row r="185" spans="2:7" x14ac:dyDescent="0.2">
      <c r="B185" s="85">
        <v>1377</v>
      </c>
      <c r="C185" s="28" t="s">
        <v>623</v>
      </c>
      <c r="D185" s="23" t="s">
        <v>570</v>
      </c>
      <c r="E185" s="23">
        <v>330</v>
      </c>
      <c r="G185" s="23">
        <v>2</v>
      </c>
    </row>
    <row r="186" spans="2:7" x14ac:dyDescent="0.2">
      <c r="B186" s="85">
        <v>1378</v>
      </c>
      <c r="C186" s="28" t="s">
        <v>624</v>
      </c>
      <c r="D186" s="23" t="s">
        <v>562</v>
      </c>
      <c r="E186" s="23">
        <v>330</v>
      </c>
      <c r="G186" s="23">
        <v>2</v>
      </c>
    </row>
    <row r="187" spans="2:7" x14ac:dyDescent="0.2">
      <c r="B187" s="85">
        <v>1379</v>
      </c>
      <c r="C187" s="28" t="s">
        <v>625</v>
      </c>
      <c r="D187" s="23" t="s">
        <v>563</v>
      </c>
      <c r="E187" s="23">
        <v>330</v>
      </c>
      <c r="G187" s="23">
        <v>2</v>
      </c>
    </row>
    <row r="188" spans="2:7" x14ac:dyDescent="0.2">
      <c r="B188" s="85">
        <v>1380</v>
      </c>
      <c r="C188" s="28" t="s">
        <v>626</v>
      </c>
      <c r="D188" s="23" t="s">
        <v>564</v>
      </c>
      <c r="E188" s="23">
        <v>330</v>
      </c>
      <c r="G188" s="23">
        <v>2</v>
      </c>
    </row>
    <row r="189" spans="2:7" x14ac:dyDescent="0.2">
      <c r="B189" s="85">
        <v>1381</v>
      </c>
      <c r="C189" s="28" t="s">
        <v>627</v>
      </c>
      <c r="D189" s="23" t="s">
        <v>565</v>
      </c>
      <c r="E189" s="23">
        <v>330</v>
      </c>
      <c r="G189" s="23">
        <v>2</v>
      </c>
    </row>
    <row r="190" spans="2:7" x14ac:dyDescent="0.2">
      <c r="B190" s="85">
        <v>1382</v>
      </c>
      <c r="C190" s="28" t="s">
        <v>628</v>
      </c>
      <c r="D190" s="23" t="s">
        <v>566</v>
      </c>
      <c r="E190" s="23">
        <v>330</v>
      </c>
      <c r="G190" s="23">
        <v>2</v>
      </c>
    </row>
    <row r="191" spans="2:7" x14ac:dyDescent="0.2">
      <c r="B191" s="85">
        <v>1383</v>
      </c>
      <c r="C191" s="28" t="s">
        <v>629</v>
      </c>
      <c r="D191" s="23" t="s">
        <v>567</v>
      </c>
      <c r="E191" s="23">
        <v>330</v>
      </c>
      <c r="G191" s="23">
        <v>2</v>
      </c>
    </row>
    <row r="192" spans="2:7" x14ac:dyDescent="0.2">
      <c r="B192" s="85">
        <v>1384</v>
      </c>
      <c r="C192" s="28" t="s">
        <v>630</v>
      </c>
      <c r="D192" s="23" t="s">
        <v>568</v>
      </c>
      <c r="E192" s="23">
        <v>330</v>
      </c>
      <c r="G192" s="23">
        <v>2</v>
      </c>
    </row>
    <row r="193" spans="2:7" x14ac:dyDescent="0.2">
      <c r="B193" s="85">
        <v>1385</v>
      </c>
      <c r="C193" s="28" t="s">
        <v>631</v>
      </c>
      <c r="D193" s="23" t="s">
        <v>569</v>
      </c>
      <c r="E193" s="23">
        <v>330</v>
      </c>
      <c r="G193" s="23">
        <v>2</v>
      </c>
    </row>
    <row r="194" spans="2:7" x14ac:dyDescent="0.2">
      <c r="B194" s="85">
        <v>1475</v>
      </c>
      <c r="C194" s="28" t="s">
        <v>632</v>
      </c>
      <c r="D194" s="23" t="s">
        <v>558</v>
      </c>
      <c r="E194" s="23">
        <v>90</v>
      </c>
      <c r="G194" s="23">
        <v>1</v>
      </c>
    </row>
    <row r="195" spans="2:7" x14ac:dyDescent="0.2">
      <c r="B195" s="85">
        <v>1476</v>
      </c>
      <c r="C195" s="28" t="s">
        <v>633</v>
      </c>
      <c r="D195" s="23" t="s">
        <v>558</v>
      </c>
      <c r="E195" s="23">
        <v>140</v>
      </c>
      <c r="G195" s="23">
        <v>1</v>
      </c>
    </row>
    <row r="196" spans="2:7" x14ac:dyDescent="0.2">
      <c r="B196" s="85">
        <v>1496</v>
      </c>
      <c r="C196" s="28" t="s">
        <v>634</v>
      </c>
      <c r="D196" s="23" t="s">
        <v>558</v>
      </c>
      <c r="E196" s="23">
        <v>35</v>
      </c>
      <c r="G196" s="23">
        <v>1</v>
      </c>
    </row>
    <row r="197" spans="2:7" x14ac:dyDescent="0.2">
      <c r="B197" s="85">
        <v>1545</v>
      </c>
      <c r="C197" s="28" t="s">
        <v>766</v>
      </c>
      <c r="D197" s="23" t="s">
        <v>558</v>
      </c>
      <c r="E197" s="23">
        <v>65</v>
      </c>
      <c r="G197" s="23">
        <v>1</v>
      </c>
    </row>
    <row r="198" spans="2:7" x14ac:dyDescent="0.2">
      <c r="B198" s="85">
        <v>1543</v>
      </c>
      <c r="C198" s="28" t="s">
        <v>635</v>
      </c>
      <c r="D198" s="23" t="s">
        <v>558</v>
      </c>
      <c r="E198" s="23">
        <v>65</v>
      </c>
      <c r="G198" s="23">
        <v>1</v>
      </c>
    </row>
    <row r="199" spans="2:7" x14ac:dyDescent="0.2">
      <c r="B199" s="85">
        <v>1546</v>
      </c>
      <c r="C199" s="28" t="s">
        <v>767</v>
      </c>
      <c r="D199" s="23" t="s">
        <v>558</v>
      </c>
      <c r="E199" s="23">
        <v>65</v>
      </c>
      <c r="G199" s="23">
        <v>1</v>
      </c>
    </row>
    <row r="200" spans="2:7" x14ac:dyDescent="0.2">
      <c r="B200" s="84">
        <v>1814</v>
      </c>
      <c r="C200" s="28" t="s">
        <v>636</v>
      </c>
      <c r="D200" s="23" t="s">
        <v>558</v>
      </c>
      <c r="E200" s="23">
        <v>65</v>
      </c>
      <c r="G200" s="23">
        <v>2</v>
      </c>
    </row>
    <row r="201" spans="2:7" x14ac:dyDescent="0.2">
      <c r="B201" s="85">
        <v>5306</v>
      </c>
      <c r="C201" s="28" t="s">
        <v>721</v>
      </c>
      <c r="D201" s="23" t="s">
        <v>558</v>
      </c>
      <c r="E201" s="23">
        <v>200</v>
      </c>
      <c r="G201" s="23">
        <v>1</v>
      </c>
    </row>
    <row r="202" spans="2:7" x14ac:dyDescent="0.2">
      <c r="B202" s="85">
        <v>6185</v>
      </c>
      <c r="C202" s="28" t="s">
        <v>607</v>
      </c>
      <c r="D202" s="23" t="s">
        <v>558</v>
      </c>
      <c r="E202" s="23">
        <v>900</v>
      </c>
      <c r="G202" s="23">
        <v>1</v>
      </c>
    </row>
    <row r="203" spans="2:7" x14ac:dyDescent="0.2">
      <c r="B203" s="85">
        <v>6184</v>
      </c>
      <c r="C203" s="28" t="s">
        <v>888</v>
      </c>
      <c r="D203" s="23" t="s">
        <v>558</v>
      </c>
      <c r="E203" s="23">
        <v>790</v>
      </c>
      <c r="G203" s="23">
        <v>1</v>
      </c>
    </row>
    <row r="204" spans="2:7" x14ac:dyDescent="0.2">
      <c r="B204" s="85">
        <v>6067</v>
      </c>
      <c r="C204" s="28" t="s">
        <v>605</v>
      </c>
      <c r="D204" s="23" t="s">
        <v>558</v>
      </c>
      <c r="E204" s="23">
        <v>35</v>
      </c>
      <c r="G204" s="23">
        <v>1</v>
      </c>
    </row>
    <row r="205" spans="2:7" x14ac:dyDescent="0.2">
      <c r="B205" s="85">
        <v>2080</v>
      </c>
      <c r="C205" s="28" t="s">
        <v>640</v>
      </c>
      <c r="D205" s="23" t="s">
        <v>558</v>
      </c>
      <c r="E205" s="23">
        <v>45</v>
      </c>
      <c r="G205" s="23">
        <v>1</v>
      </c>
    </row>
    <row r="206" spans="2:7" x14ac:dyDescent="0.2">
      <c r="B206" s="85">
        <v>2082</v>
      </c>
      <c r="C206" s="28" t="s">
        <v>641</v>
      </c>
      <c r="D206" s="23" t="s">
        <v>558</v>
      </c>
      <c r="E206" s="23">
        <v>45</v>
      </c>
      <c r="G206" s="23">
        <v>1</v>
      </c>
    </row>
    <row r="207" spans="2:7" x14ac:dyDescent="0.2">
      <c r="B207" s="85">
        <v>2084</v>
      </c>
      <c r="C207" s="28" t="s">
        <v>642</v>
      </c>
      <c r="D207" s="23" t="s">
        <v>558</v>
      </c>
      <c r="E207" s="23">
        <v>25</v>
      </c>
      <c r="G207" s="23">
        <v>1</v>
      </c>
    </row>
    <row r="208" spans="2:7" x14ac:dyDescent="0.2">
      <c r="B208" s="85">
        <v>2100</v>
      </c>
      <c r="C208" s="28" t="s">
        <v>771</v>
      </c>
      <c r="D208" s="23" t="s">
        <v>558</v>
      </c>
      <c r="E208" s="23">
        <v>310</v>
      </c>
      <c r="G208" s="23">
        <v>1</v>
      </c>
    </row>
    <row r="209" spans="2:7" x14ac:dyDescent="0.2">
      <c r="B209" s="85">
        <v>4957</v>
      </c>
      <c r="C209" s="28" t="s">
        <v>719</v>
      </c>
      <c r="D209" s="23" t="s">
        <v>558</v>
      </c>
      <c r="E209" s="23">
        <v>700</v>
      </c>
      <c r="G209" s="23">
        <v>1</v>
      </c>
    </row>
    <row r="210" spans="2:7" x14ac:dyDescent="0.2">
      <c r="B210" s="85">
        <v>2153</v>
      </c>
      <c r="C210" s="28" t="s">
        <v>643</v>
      </c>
      <c r="D210" s="23" t="s">
        <v>558</v>
      </c>
      <c r="E210" s="23">
        <v>1100</v>
      </c>
      <c r="G210" s="23">
        <v>1</v>
      </c>
    </row>
    <row r="211" spans="2:7" x14ac:dyDescent="0.2">
      <c r="B211" s="85">
        <v>2279</v>
      </c>
      <c r="C211" s="28" t="s">
        <v>772</v>
      </c>
      <c r="D211" s="23" t="s">
        <v>558</v>
      </c>
      <c r="E211" s="23">
        <v>500</v>
      </c>
      <c r="G211" s="23">
        <v>1</v>
      </c>
    </row>
    <row r="212" spans="2:7" x14ac:dyDescent="0.2">
      <c r="B212" s="85">
        <v>5358</v>
      </c>
      <c r="C212" s="28" t="s">
        <v>722</v>
      </c>
      <c r="D212" s="23" t="s">
        <v>558</v>
      </c>
      <c r="E212" s="23">
        <v>180</v>
      </c>
      <c r="G212" s="23">
        <v>1</v>
      </c>
    </row>
    <row r="213" spans="2:7" x14ac:dyDescent="0.2">
      <c r="B213" s="86">
        <v>0</v>
      </c>
      <c r="C213" s="57" t="s">
        <v>11</v>
      </c>
      <c r="D213" s="23" t="s">
        <v>18</v>
      </c>
      <c r="E213" s="23">
        <v>0</v>
      </c>
      <c r="G213" s="23">
        <v>1</v>
      </c>
    </row>
    <row r="214" spans="2:7" x14ac:dyDescent="0.2">
      <c r="B214" s="85">
        <v>5488</v>
      </c>
      <c r="C214" s="28" t="s">
        <v>728</v>
      </c>
      <c r="D214" s="23" t="s">
        <v>558</v>
      </c>
      <c r="E214" s="23">
        <v>180</v>
      </c>
      <c r="G214" s="23">
        <v>1</v>
      </c>
    </row>
    <row r="215" spans="2:7" x14ac:dyDescent="0.2">
      <c r="B215" s="85">
        <v>3959</v>
      </c>
      <c r="C215" s="28" t="s">
        <v>718</v>
      </c>
      <c r="D215" s="23" t="s">
        <v>570</v>
      </c>
      <c r="E215" s="23">
        <v>1450</v>
      </c>
      <c r="G215" s="23">
        <v>2</v>
      </c>
    </row>
    <row r="216" spans="2:7" x14ac:dyDescent="0.2">
      <c r="B216" s="85">
        <v>2385</v>
      </c>
      <c r="C216" s="28" t="s">
        <v>644</v>
      </c>
      <c r="D216" s="23" t="s">
        <v>562</v>
      </c>
      <c r="E216" s="23">
        <v>1450</v>
      </c>
      <c r="G216" s="23">
        <v>2</v>
      </c>
    </row>
    <row r="217" spans="2:7" x14ac:dyDescent="0.2">
      <c r="B217" s="85">
        <v>2386</v>
      </c>
      <c r="C217" s="28" t="s">
        <v>645</v>
      </c>
      <c r="D217" s="23" t="s">
        <v>563</v>
      </c>
      <c r="E217" s="23">
        <v>1450</v>
      </c>
      <c r="G217" s="23">
        <v>2</v>
      </c>
    </row>
    <row r="218" spans="2:7" x14ac:dyDescent="0.2">
      <c r="B218" s="85">
        <v>2387</v>
      </c>
      <c r="C218" s="28" t="s">
        <v>646</v>
      </c>
      <c r="D218" s="23" t="s">
        <v>564</v>
      </c>
      <c r="E218" s="23">
        <v>1450</v>
      </c>
      <c r="G218" s="23">
        <v>2</v>
      </c>
    </row>
    <row r="219" spans="2:7" x14ac:dyDescent="0.2">
      <c r="B219" s="85">
        <v>2388</v>
      </c>
      <c r="C219" s="28" t="s">
        <v>647</v>
      </c>
      <c r="D219" s="23" t="s">
        <v>565</v>
      </c>
      <c r="E219" s="23">
        <v>1450</v>
      </c>
      <c r="G219" s="23">
        <v>2</v>
      </c>
    </row>
    <row r="220" spans="2:7" x14ac:dyDescent="0.2">
      <c r="B220" s="85">
        <v>2389</v>
      </c>
      <c r="C220" s="28" t="s">
        <v>648</v>
      </c>
      <c r="D220" s="23" t="s">
        <v>566</v>
      </c>
      <c r="E220" s="23">
        <v>1450</v>
      </c>
      <c r="G220" s="23">
        <v>2</v>
      </c>
    </row>
    <row r="221" spans="2:7" x14ac:dyDescent="0.2">
      <c r="B221" s="85">
        <v>2390</v>
      </c>
      <c r="C221" s="28" t="s">
        <v>649</v>
      </c>
      <c r="D221" s="23" t="s">
        <v>567</v>
      </c>
      <c r="E221" s="23">
        <v>1450</v>
      </c>
      <c r="G221" s="23">
        <v>2</v>
      </c>
    </row>
    <row r="222" spans="2:7" x14ac:dyDescent="0.2">
      <c r="B222" s="85">
        <v>2391</v>
      </c>
      <c r="C222" s="28" t="s">
        <v>650</v>
      </c>
      <c r="D222" s="23" t="s">
        <v>568</v>
      </c>
      <c r="E222" s="23">
        <v>1450</v>
      </c>
      <c r="G222" s="23">
        <v>2</v>
      </c>
    </row>
    <row r="223" spans="2:7" x14ac:dyDescent="0.2">
      <c r="B223" s="85">
        <v>2392</v>
      </c>
      <c r="C223" s="28" t="s">
        <v>651</v>
      </c>
      <c r="D223" s="23" t="s">
        <v>569</v>
      </c>
      <c r="E223" s="23">
        <v>1450</v>
      </c>
      <c r="G223" s="23">
        <v>2</v>
      </c>
    </row>
    <row r="224" spans="2:7" x14ac:dyDescent="0.2">
      <c r="B224" s="85">
        <v>2393</v>
      </c>
      <c r="C224" s="28" t="s">
        <v>652</v>
      </c>
      <c r="D224" s="23" t="s">
        <v>571</v>
      </c>
      <c r="E224" s="23">
        <v>1450</v>
      </c>
      <c r="G224" s="23">
        <v>2</v>
      </c>
    </row>
    <row r="225" spans="2:7" x14ac:dyDescent="0.2">
      <c r="B225" s="85">
        <v>2403</v>
      </c>
      <c r="C225" s="28" t="s">
        <v>653</v>
      </c>
      <c r="D225" s="23" t="s">
        <v>577</v>
      </c>
      <c r="E225" s="23">
        <v>380</v>
      </c>
      <c r="G225" s="23">
        <v>2</v>
      </c>
    </row>
    <row r="226" spans="2:7" x14ac:dyDescent="0.2">
      <c r="B226" s="85">
        <v>2404</v>
      </c>
      <c r="C226" s="28" t="s">
        <v>654</v>
      </c>
      <c r="D226" s="23" t="s">
        <v>578</v>
      </c>
      <c r="E226" s="23">
        <v>380</v>
      </c>
      <c r="G226" s="23">
        <v>2</v>
      </c>
    </row>
    <row r="227" spans="2:7" x14ac:dyDescent="0.2">
      <c r="B227" s="85">
        <v>2405</v>
      </c>
      <c r="C227" s="28" t="s">
        <v>655</v>
      </c>
      <c r="D227" s="23" t="s">
        <v>570</v>
      </c>
      <c r="E227" s="23">
        <v>380</v>
      </c>
      <c r="G227" s="23">
        <v>2</v>
      </c>
    </row>
    <row r="228" spans="2:7" x14ac:dyDescent="0.2">
      <c r="B228" s="85">
        <v>2406</v>
      </c>
      <c r="C228" s="28" t="s">
        <v>656</v>
      </c>
      <c r="D228" s="23" t="s">
        <v>562</v>
      </c>
      <c r="E228" s="23">
        <v>380</v>
      </c>
      <c r="G228" s="23">
        <v>2</v>
      </c>
    </row>
    <row r="229" spans="2:7" x14ac:dyDescent="0.2">
      <c r="B229" s="85">
        <v>2407</v>
      </c>
      <c r="C229" s="28" t="s">
        <v>657</v>
      </c>
      <c r="D229" s="23" t="s">
        <v>563</v>
      </c>
      <c r="E229" s="23">
        <v>380</v>
      </c>
      <c r="G229" s="23">
        <v>2</v>
      </c>
    </row>
    <row r="230" spans="2:7" x14ac:dyDescent="0.2">
      <c r="B230" s="85">
        <v>2408</v>
      </c>
      <c r="C230" s="28" t="s">
        <v>658</v>
      </c>
      <c r="D230" s="23" t="s">
        <v>564</v>
      </c>
      <c r="E230" s="23">
        <v>380</v>
      </c>
      <c r="G230" s="23">
        <v>2</v>
      </c>
    </row>
    <row r="231" spans="2:7" x14ac:dyDescent="0.2">
      <c r="B231" s="85">
        <v>2409</v>
      </c>
      <c r="C231" s="28" t="s">
        <v>659</v>
      </c>
      <c r="D231" s="23" t="s">
        <v>565</v>
      </c>
      <c r="E231" s="23">
        <v>380</v>
      </c>
      <c r="G231" s="23">
        <v>2</v>
      </c>
    </row>
    <row r="232" spans="2:7" x14ac:dyDescent="0.2">
      <c r="B232" s="85">
        <v>2410</v>
      </c>
      <c r="C232" s="28" t="s">
        <v>660</v>
      </c>
      <c r="D232" s="23" t="s">
        <v>566</v>
      </c>
      <c r="E232" s="23">
        <v>380</v>
      </c>
      <c r="G232" s="23">
        <v>2</v>
      </c>
    </row>
    <row r="233" spans="2:7" x14ac:dyDescent="0.2">
      <c r="B233" s="85">
        <v>2411</v>
      </c>
      <c r="C233" s="28" t="s">
        <v>661</v>
      </c>
      <c r="D233" s="23" t="s">
        <v>567</v>
      </c>
      <c r="E233" s="23">
        <v>380</v>
      </c>
      <c r="G233" s="23">
        <v>2</v>
      </c>
    </row>
    <row r="234" spans="2:7" x14ac:dyDescent="0.2">
      <c r="B234" s="85">
        <v>2412</v>
      </c>
      <c r="C234" s="28" t="s">
        <v>662</v>
      </c>
      <c r="D234" s="23" t="s">
        <v>568</v>
      </c>
      <c r="E234" s="23">
        <v>380</v>
      </c>
      <c r="G234" s="23">
        <v>2</v>
      </c>
    </row>
    <row r="235" spans="2:7" x14ac:dyDescent="0.2">
      <c r="B235" s="85">
        <v>2413</v>
      </c>
      <c r="C235" s="28" t="s">
        <v>663</v>
      </c>
      <c r="D235" s="23" t="s">
        <v>569</v>
      </c>
      <c r="E235" s="23">
        <v>380</v>
      </c>
      <c r="G235" s="23">
        <v>2</v>
      </c>
    </row>
    <row r="236" spans="2:7" x14ac:dyDescent="0.2">
      <c r="B236" s="85">
        <v>2418</v>
      </c>
      <c r="C236" s="28" t="s">
        <v>773</v>
      </c>
      <c r="D236" s="23" t="s">
        <v>570</v>
      </c>
      <c r="E236" s="23">
        <v>385</v>
      </c>
      <c r="G236" s="23">
        <v>2</v>
      </c>
    </row>
    <row r="237" spans="2:7" x14ac:dyDescent="0.2">
      <c r="B237" s="85">
        <v>2419</v>
      </c>
      <c r="C237" s="28" t="s">
        <v>774</v>
      </c>
      <c r="D237" s="23" t="s">
        <v>562</v>
      </c>
      <c r="E237" s="23">
        <v>385</v>
      </c>
      <c r="G237" s="23">
        <v>2</v>
      </c>
    </row>
    <row r="238" spans="2:7" x14ac:dyDescent="0.2">
      <c r="B238" s="85">
        <v>2420</v>
      </c>
      <c r="C238" s="28" t="s">
        <v>775</v>
      </c>
      <c r="D238" s="23" t="s">
        <v>563</v>
      </c>
      <c r="E238" s="23">
        <v>385</v>
      </c>
      <c r="G238" s="23">
        <v>2</v>
      </c>
    </row>
    <row r="239" spans="2:7" x14ac:dyDescent="0.2">
      <c r="B239" s="85">
        <v>2421</v>
      </c>
      <c r="C239" s="28" t="s">
        <v>776</v>
      </c>
      <c r="D239" s="23" t="s">
        <v>564</v>
      </c>
      <c r="E239" s="23">
        <v>385</v>
      </c>
      <c r="G239" s="23">
        <v>2</v>
      </c>
    </row>
    <row r="240" spans="2:7" x14ac:dyDescent="0.2">
      <c r="B240" s="85">
        <v>2422</v>
      </c>
      <c r="C240" s="28" t="s">
        <v>777</v>
      </c>
      <c r="D240" s="23" t="s">
        <v>565</v>
      </c>
      <c r="E240" s="23">
        <v>385</v>
      </c>
      <c r="G240" s="23">
        <v>2</v>
      </c>
    </row>
    <row r="241" spans="2:7" x14ac:dyDescent="0.2">
      <c r="B241" s="85">
        <v>2423</v>
      </c>
      <c r="C241" s="28" t="s">
        <v>778</v>
      </c>
      <c r="D241" s="23" t="s">
        <v>566</v>
      </c>
      <c r="E241" s="23">
        <v>385</v>
      </c>
      <c r="G241" s="23">
        <v>2</v>
      </c>
    </row>
    <row r="242" spans="2:7" x14ac:dyDescent="0.2">
      <c r="B242" s="85">
        <v>2424</v>
      </c>
      <c r="C242" s="28" t="s">
        <v>779</v>
      </c>
      <c r="D242" s="23" t="s">
        <v>567</v>
      </c>
      <c r="E242" s="23">
        <v>385</v>
      </c>
      <c r="G242" s="23">
        <v>2</v>
      </c>
    </row>
    <row r="243" spans="2:7" x14ac:dyDescent="0.2">
      <c r="B243" s="85">
        <v>2425</v>
      </c>
      <c r="C243" s="28" t="s">
        <v>780</v>
      </c>
      <c r="D243" s="23" t="s">
        <v>568</v>
      </c>
      <c r="E243" s="23">
        <v>385</v>
      </c>
      <c r="G243" s="23">
        <v>2</v>
      </c>
    </row>
    <row r="244" spans="2:7" x14ac:dyDescent="0.2">
      <c r="B244" s="85">
        <v>2426</v>
      </c>
      <c r="C244" s="28" t="s">
        <v>781</v>
      </c>
      <c r="D244" s="23" t="s">
        <v>569</v>
      </c>
      <c r="E244" s="23">
        <v>385</v>
      </c>
      <c r="G244" s="23">
        <v>2</v>
      </c>
    </row>
    <row r="245" spans="2:7" x14ac:dyDescent="0.2">
      <c r="B245" s="85">
        <v>2427</v>
      </c>
      <c r="C245" s="28" t="s">
        <v>782</v>
      </c>
      <c r="D245" s="23" t="s">
        <v>571</v>
      </c>
      <c r="E245" s="23">
        <v>385</v>
      </c>
      <c r="G245" s="23">
        <v>2</v>
      </c>
    </row>
    <row r="246" spans="2:7" x14ac:dyDescent="0.2">
      <c r="B246" s="85">
        <v>2428</v>
      </c>
      <c r="C246" s="28" t="s">
        <v>783</v>
      </c>
      <c r="D246" s="23" t="s">
        <v>579</v>
      </c>
      <c r="E246" s="23">
        <v>385</v>
      </c>
      <c r="G246" s="23">
        <v>2</v>
      </c>
    </row>
    <row r="247" spans="2:7" x14ac:dyDescent="0.2">
      <c r="B247" s="85">
        <v>2429</v>
      </c>
      <c r="C247" s="28" t="s">
        <v>784</v>
      </c>
      <c r="D247" s="23" t="s">
        <v>580</v>
      </c>
      <c r="E247" s="23">
        <v>385</v>
      </c>
      <c r="G247" s="23">
        <v>2</v>
      </c>
    </row>
    <row r="248" spans="2:7" x14ac:dyDescent="0.2">
      <c r="B248" s="85">
        <v>2430</v>
      </c>
      <c r="C248" s="28" t="s">
        <v>785</v>
      </c>
      <c r="D248" s="23" t="s">
        <v>581</v>
      </c>
      <c r="E248" s="23">
        <v>385</v>
      </c>
      <c r="G248" s="23">
        <v>2</v>
      </c>
    </row>
    <row r="249" spans="2:7" x14ac:dyDescent="0.2">
      <c r="B249" s="85">
        <v>2431</v>
      </c>
      <c r="C249" s="28" t="s">
        <v>786</v>
      </c>
      <c r="D249" s="23" t="s">
        <v>582</v>
      </c>
      <c r="E249" s="23">
        <v>385</v>
      </c>
      <c r="G249" s="23">
        <v>2</v>
      </c>
    </row>
    <row r="250" spans="2:7" x14ac:dyDescent="0.2">
      <c r="B250" s="85">
        <v>2432</v>
      </c>
      <c r="C250" s="28" t="s">
        <v>787</v>
      </c>
      <c r="D250" s="23" t="s">
        <v>583</v>
      </c>
      <c r="E250" s="23">
        <v>385</v>
      </c>
      <c r="G250" s="23">
        <v>2</v>
      </c>
    </row>
    <row r="251" spans="2:7" x14ac:dyDescent="0.2">
      <c r="B251" s="85">
        <v>6072</v>
      </c>
      <c r="C251" s="28" t="s">
        <v>884</v>
      </c>
      <c r="D251" s="23" t="s">
        <v>558</v>
      </c>
      <c r="E251" s="23">
        <v>150</v>
      </c>
      <c r="G251" s="23">
        <v>1</v>
      </c>
    </row>
    <row r="252" spans="2:7" x14ac:dyDescent="0.2">
      <c r="B252" s="85">
        <v>2537</v>
      </c>
      <c r="C252" s="28" t="s">
        <v>664</v>
      </c>
      <c r="D252" s="23" t="s">
        <v>558</v>
      </c>
      <c r="E252" s="23">
        <v>20</v>
      </c>
      <c r="G252" s="23">
        <v>1</v>
      </c>
    </row>
    <row r="253" spans="2:7" x14ac:dyDescent="0.2">
      <c r="B253" s="85">
        <v>5397</v>
      </c>
      <c r="C253" s="28" t="s">
        <v>724</v>
      </c>
      <c r="D253" s="23" t="s">
        <v>558</v>
      </c>
      <c r="E253" s="23">
        <v>85</v>
      </c>
      <c r="G253" s="23">
        <v>2</v>
      </c>
    </row>
    <row r="254" spans="2:7" x14ac:dyDescent="0.2">
      <c r="B254" s="85">
        <v>2568</v>
      </c>
      <c r="C254" s="28" t="s">
        <v>665</v>
      </c>
      <c r="D254" s="23" t="s">
        <v>558</v>
      </c>
      <c r="E254" s="23">
        <v>65</v>
      </c>
      <c r="G254" s="23">
        <v>2</v>
      </c>
    </row>
    <row r="255" spans="2:7" x14ac:dyDescent="0.2">
      <c r="B255" s="85">
        <v>2570</v>
      </c>
      <c r="C255" s="28" t="s">
        <v>666</v>
      </c>
      <c r="D255" s="23" t="s">
        <v>558</v>
      </c>
      <c r="E255" s="23">
        <v>65</v>
      </c>
      <c r="G255" s="23">
        <v>2</v>
      </c>
    </row>
    <row r="256" spans="2:7" x14ac:dyDescent="0.2">
      <c r="B256" s="85">
        <v>2571</v>
      </c>
      <c r="C256" s="28" t="s">
        <v>667</v>
      </c>
      <c r="D256" s="23" t="s">
        <v>558</v>
      </c>
      <c r="E256" s="23">
        <v>75</v>
      </c>
      <c r="G256" s="23">
        <v>2</v>
      </c>
    </row>
    <row r="257" spans="2:7" x14ac:dyDescent="0.2">
      <c r="B257" s="84">
        <v>6900</v>
      </c>
      <c r="C257" s="28" t="s">
        <v>907</v>
      </c>
      <c r="D257" s="23" t="s">
        <v>592</v>
      </c>
      <c r="E257" s="23">
        <v>180</v>
      </c>
      <c r="G257" s="23">
        <v>2</v>
      </c>
    </row>
    <row r="258" spans="2:7" x14ac:dyDescent="0.2">
      <c r="B258" s="84">
        <v>6899</v>
      </c>
      <c r="C258" s="28" t="s">
        <v>906</v>
      </c>
      <c r="D258" s="23" t="s">
        <v>591</v>
      </c>
      <c r="E258" s="23">
        <v>180</v>
      </c>
      <c r="G258" s="23">
        <v>2</v>
      </c>
    </row>
    <row r="259" spans="2:7" x14ac:dyDescent="0.2">
      <c r="B259" s="85">
        <v>2607</v>
      </c>
      <c r="C259" s="28" t="s">
        <v>789</v>
      </c>
      <c r="D259" s="23" t="s">
        <v>596</v>
      </c>
      <c r="E259" s="23">
        <v>75</v>
      </c>
      <c r="G259" s="23">
        <v>2</v>
      </c>
    </row>
    <row r="260" spans="2:7" x14ac:dyDescent="0.2">
      <c r="B260" s="85">
        <v>2608</v>
      </c>
      <c r="C260" s="28" t="s">
        <v>790</v>
      </c>
      <c r="D260" s="23" t="s">
        <v>594</v>
      </c>
      <c r="E260" s="23">
        <v>75</v>
      </c>
      <c r="G260" s="23">
        <v>2</v>
      </c>
    </row>
    <row r="261" spans="2:7" x14ac:dyDescent="0.2">
      <c r="B261" s="85">
        <v>2609</v>
      </c>
      <c r="C261" s="28" t="s">
        <v>791</v>
      </c>
      <c r="D261" s="23" t="s">
        <v>597</v>
      </c>
      <c r="E261" s="23">
        <v>75</v>
      </c>
      <c r="G261" s="23">
        <v>2</v>
      </c>
    </row>
    <row r="262" spans="2:7" x14ac:dyDescent="0.2">
      <c r="B262" s="85">
        <v>2610</v>
      </c>
      <c r="C262" s="28" t="s">
        <v>792</v>
      </c>
      <c r="D262" s="23" t="s">
        <v>596</v>
      </c>
      <c r="E262" s="23">
        <v>75</v>
      </c>
      <c r="G262" s="23">
        <v>2</v>
      </c>
    </row>
    <row r="263" spans="2:7" x14ac:dyDescent="0.2">
      <c r="B263" s="85">
        <v>2611</v>
      </c>
      <c r="C263" s="28" t="s">
        <v>793</v>
      </c>
      <c r="D263" s="23" t="s">
        <v>594</v>
      </c>
      <c r="E263" s="23">
        <v>75</v>
      </c>
      <c r="G263" s="23">
        <v>2</v>
      </c>
    </row>
    <row r="264" spans="2:7" x14ac:dyDescent="0.2">
      <c r="B264" s="85">
        <v>2612</v>
      </c>
      <c r="C264" s="28" t="s">
        <v>794</v>
      </c>
      <c r="D264" s="23" t="s">
        <v>597</v>
      </c>
      <c r="E264" s="23">
        <v>75</v>
      </c>
      <c r="G264" s="23">
        <v>2</v>
      </c>
    </row>
    <row r="265" spans="2:7" x14ac:dyDescent="0.2">
      <c r="B265" s="85">
        <v>2617</v>
      </c>
      <c r="C265" s="28" t="s">
        <v>795</v>
      </c>
      <c r="D265" s="23" t="s">
        <v>596</v>
      </c>
      <c r="E265" s="23">
        <v>140</v>
      </c>
      <c r="G265" s="23">
        <v>2</v>
      </c>
    </row>
    <row r="266" spans="2:7" x14ac:dyDescent="0.2">
      <c r="B266" s="85">
        <v>2618</v>
      </c>
      <c r="C266" s="28" t="s">
        <v>796</v>
      </c>
      <c r="D266" s="23" t="s">
        <v>595</v>
      </c>
      <c r="E266" s="23">
        <v>140</v>
      </c>
      <c r="G266" s="23">
        <v>2</v>
      </c>
    </row>
    <row r="267" spans="2:7" x14ac:dyDescent="0.2">
      <c r="B267" s="85">
        <v>2619</v>
      </c>
      <c r="C267" s="28" t="s">
        <v>797</v>
      </c>
      <c r="D267" s="23" t="s">
        <v>594</v>
      </c>
      <c r="E267" s="23">
        <v>140</v>
      </c>
      <c r="G267" s="23">
        <v>2</v>
      </c>
    </row>
    <row r="268" spans="2:7" x14ac:dyDescent="0.2">
      <c r="B268" s="85">
        <v>2620</v>
      </c>
      <c r="C268" s="28" t="s">
        <v>798</v>
      </c>
      <c r="D268" s="23" t="s">
        <v>597</v>
      </c>
      <c r="E268" s="23">
        <v>140</v>
      </c>
      <c r="G268" s="23">
        <v>2</v>
      </c>
    </row>
    <row r="269" spans="2:7" x14ac:dyDescent="0.2">
      <c r="B269" s="85">
        <v>2635</v>
      </c>
      <c r="C269" s="28" t="s">
        <v>669</v>
      </c>
      <c r="D269" s="23" t="s">
        <v>559</v>
      </c>
      <c r="E269" s="23">
        <v>180</v>
      </c>
      <c r="G269" s="23">
        <v>2</v>
      </c>
    </row>
    <row r="270" spans="2:7" x14ac:dyDescent="0.2">
      <c r="B270" s="85">
        <v>2636</v>
      </c>
      <c r="C270" s="28" t="s">
        <v>670</v>
      </c>
      <c r="D270" s="23" t="s">
        <v>560</v>
      </c>
      <c r="E270" s="23">
        <v>180</v>
      </c>
      <c r="G270" s="23">
        <v>2</v>
      </c>
    </row>
    <row r="271" spans="2:7" x14ac:dyDescent="0.2">
      <c r="B271" s="85">
        <v>2637</v>
      </c>
      <c r="C271" s="28" t="s">
        <v>671</v>
      </c>
      <c r="D271" s="23" t="s">
        <v>561</v>
      </c>
      <c r="E271" s="23">
        <v>180</v>
      </c>
      <c r="G271" s="23">
        <v>2</v>
      </c>
    </row>
    <row r="272" spans="2:7" x14ac:dyDescent="0.2">
      <c r="B272" s="84">
        <v>5496</v>
      </c>
      <c r="C272" s="28" t="s">
        <v>874</v>
      </c>
      <c r="D272" s="23" t="s">
        <v>558</v>
      </c>
      <c r="E272" s="23">
        <v>85</v>
      </c>
      <c r="G272" s="23">
        <v>2</v>
      </c>
    </row>
    <row r="273" spans="2:7" x14ac:dyDescent="0.2">
      <c r="B273" s="85">
        <v>2642</v>
      </c>
      <c r="C273" s="28" t="s">
        <v>799</v>
      </c>
      <c r="D273" s="23" t="s">
        <v>596</v>
      </c>
      <c r="E273" s="23">
        <v>155</v>
      </c>
      <c r="G273" s="23">
        <v>2</v>
      </c>
    </row>
    <row r="274" spans="2:7" x14ac:dyDescent="0.2">
      <c r="B274" s="85">
        <v>2643</v>
      </c>
      <c r="C274" s="28" t="s">
        <v>800</v>
      </c>
      <c r="D274" s="23" t="s">
        <v>595</v>
      </c>
      <c r="E274" s="23">
        <v>155</v>
      </c>
      <c r="G274" s="23">
        <v>2</v>
      </c>
    </row>
    <row r="275" spans="2:7" x14ac:dyDescent="0.2">
      <c r="B275" s="85">
        <v>2644</v>
      </c>
      <c r="C275" s="28" t="s">
        <v>801</v>
      </c>
      <c r="D275" s="23" t="s">
        <v>594</v>
      </c>
      <c r="E275" s="23">
        <v>155</v>
      </c>
      <c r="G275" s="23">
        <v>2</v>
      </c>
    </row>
    <row r="276" spans="2:7" x14ac:dyDescent="0.2">
      <c r="B276" s="85">
        <v>2645</v>
      </c>
      <c r="C276" s="28" t="s">
        <v>802</v>
      </c>
      <c r="D276" s="23" t="s">
        <v>597</v>
      </c>
      <c r="E276" s="23">
        <v>155</v>
      </c>
      <c r="G276" s="23">
        <v>2</v>
      </c>
    </row>
    <row r="277" spans="2:7" x14ac:dyDescent="0.2">
      <c r="B277" s="85">
        <v>2646</v>
      </c>
      <c r="C277" s="28" t="s">
        <v>803</v>
      </c>
      <c r="D277" s="23" t="s">
        <v>596</v>
      </c>
      <c r="E277" s="23">
        <v>165</v>
      </c>
      <c r="G277" s="23">
        <v>2</v>
      </c>
    </row>
    <row r="278" spans="2:7" x14ac:dyDescent="0.2">
      <c r="B278" s="85">
        <v>2647</v>
      </c>
      <c r="C278" s="28" t="s">
        <v>804</v>
      </c>
      <c r="D278" s="23" t="s">
        <v>594</v>
      </c>
      <c r="E278" s="23">
        <v>165</v>
      </c>
      <c r="G278" s="23">
        <v>2</v>
      </c>
    </row>
    <row r="279" spans="2:7" x14ac:dyDescent="0.2">
      <c r="B279" s="85">
        <v>2648</v>
      </c>
      <c r="C279" s="28" t="s">
        <v>805</v>
      </c>
      <c r="D279" s="23" t="s">
        <v>597</v>
      </c>
      <c r="E279" s="23">
        <v>165</v>
      </c>
      <c r="G279" s="23">
        <v>2</v>
      </c>
    </row>
    <row r="280" spans="2:7" x14ac:dyDescent="0.2">
      <c r="B280" s="85">
        <v>2653</v>
      </c>
      <c r="C280" s="28" t="s">
        <v>806</v>
      </c>
      <c r="D280" s="23" t="s">
        <v>596</v>
      </c>
      <c r="E280" s="23">
        <v>165</v>
      </c>
      <c r="G280" s="23">
        <v>2</v>
      </c>
    </row>
    <row r="281" spans="2:7" x14ac:dyDescent="0.2">
      <c r="B281" s="85">
        <v>2654</v>
      </c>
      <c r="C281" s="28" t="s">
        <v>807</v>
      </c>
      <c r="D281" s="23" t="s">
        <v>595</v>
      </c>
      <c r="E281" s="23">
        <v>165</v>
      </c>
      <c r="G281" s="23">
        <v>2</v>
      </c>
    </row>
    <row r="282" spans="2:7" x14ac:dyDescent="0.2">
      <c r="B282" s="85">
        <v>2655</v>
      </c>
      <c r="C282" s="28" t="s">
        <v>808</v>
      </c>
      <c r="D282" s="23" t="s">
        <v>594</v>
      </c>
      <c r="E282" s="23">
        <v>165</v>
      </c>
      <c r="G282" s="23">
        <v>2</v>
      </c>
    </row>
    <row r="283" spans="2:7" x14ac:dyDescent="0.2">
      <c r="B283" s="85">
        <v>2656</v>
      </c>
      <c r="C283" s="28" t="s">
        <v>809</v>
      </c>
      <c r="D283" s="23" t="s">
        <v>597</v>
      </c>
      <c r="E283" s="23">
        <v>165</v>
      </c>
      <c r="G283" s="23">
        <v>2</v>
      </c>
    </row>
    <row r="284" spans="2:7" x14ac:dyDescent="0.2">
      <c r="B284" s="85">
        <v>2658</v>
      </c>
      <c r="C284" s="28" t="s">
        <v>810</v>
      </c>
      <c r="D284" s="23" t="s">
        <v>596</v>
      </c>
      <c r="E284" s="23">
        <v>155</v>
      </c>
      <c r="G284" s="23">
        <v>2</v>
      </c>
    </row>
    <row r="285" spans="2:7" x14ac:dyDescent="0.2">
      <c r="B285" s="85">
        <v>2659</v>
      </c>
      <c r="C285" s="28" t="s">
        <v>811</v>
      </c>
      <c r="D285" s="23" t="s">
        <v>595</v>
      </c>
      <c r="E285" s="23">
        <v>155</v>
      </c>
      <c r="G285" s="23">
        <v>2</v>
      </c>
    </row>
    <row r="286" spans="2:7" x14ac:dyDescent="0.2">
      <c r="B286" s="85">
        <v>2660</v>
      </c>
      <c r="C286" s="28" t="s">
        <v>812</v>
      </c>
      <c r="D286" s="23" t="s">
        <v>594</v>
      </c>
      <c r="E286" s="23">
        <v>155</v>
      </c>
      <c r="G286" s="23">
        <v>2</v>
      </c>
    </row>
    <row r="287" spans="2:7" x14ac:dyDescent="0.2">
      <c r="B287" s="85">
        <v>2661</v>
      </c>
      <c r="C287" s="28" t="s">
        <v>813</v>
      </c>
      <c r="D287" s="23" t="s">
        <v>597</v>
      </c>
      <c r="E287" s="23">
        <v>155</v>
      </c>
      <c r="G287" s="23">
        <v>2</v>
      </c>
    </row>
    <row r="288" spans="2:7" x14ac:dyDescent="0.2">
      <c r="B288" s="85">
        <v>2681</v>
      </c>
      <c r="C288" s="28" t="s">
        <v>672</v>
      </c>
      <c r="D288" s="23" t="s">
        <v>558</v>
      </c>
      <c r="E288" s="23">
        <v>15</v>
      </c>
      <c r="G288" s="23">
        <v>1</v>
      </c>
    </row>
    <row r="289" spans="2:7" x14ac:dyDescent="0.2">
      <c r="B289" s="85">
        <v>2682</v>
      </c>
      <c r="C289" s="28" t="s">
        <v>673</v>
      </c>
      <c r="D289" s="23" t="s">
        <v>558</v>
      </c>
      <c r="E289" s="23">
        <v>15</v>
      </c>
      <c r="G289" s="23">
        <v>1</v>
      </c>
    </row>
    <row r="290" spans="2:7" x14ac:dyDescent="0.2">
      <c r="B290" s="85">
        <v>2709</v>
      </c>
      <c r="C290" s="28" t="s">
        <v>674</v>
      </c>
      <c r="D290" s="23" t="s">
        <v>558</v>
      </c>
      <c r="E290" s="23">
        <v>25</v>
      </c>
      <c r="G290" s="23">
        <v>1</v>
      </c>
    </row>
    <row r="291" spans="2:7" x14ac:dyDescent="0.2">
      <c r="B291" s="85">
        <v>6068</v>
      </c>
      <c r="C291" s="28" t="s">
        <v>905</v>
      </c>
      <c r="D291" s="23" t="s">
        <v>558</v>
      </c>
      <c r="E291" s="23">
        <v>200</v>
      </c>
      <c r="G291" s="23">
        <v>1</v>
      </c>
    </row>
    <row r="292" spans="2:7" x14ac:dyDescent="0.2">
      <c r="B292" s="85">
        <v>2734</v>
      </c>
      <c r="C292" s="28" t="s">
        <v>675</v>
      </c>
      <c r="D292" s="23" t="s">
        <v>558</v>
      </c>
      <c r="E292" s="23">
        <v>310</v>
      </c>
      <c r="G292" s="23">
        <v>1</v>
      </c>
    </row>
    <row r="293" spans="2:7" x14ac:dyDescent="0.2">
      <c r="B293" s="85">
        <v>2573</v>
      </c>
      <c r="C293" s="28" t="s">
        <v>668</v>
      </c>
      <c r="D293" s="23" t="s">
        <v>558</v>
      </c>
      <c r="E293" s="23">
        <v>50</v>
      </c>
      <c r="G293" s="23">
        <v>1</v>
      </c>
    </row>
    <row r="294" spans="2:7" x14ac:dyDescent="0.2">
      <c r="B294" s="84">
        <v>5709</v>
      </c>
      <c r="C294" s="28" t="s">
        <v>901</v>
      </c>
      <c r="D294" s="23" t="s">
        <v>558</v>
      </c>
      <c r="E294" s="23">
        <v>200</v>
      </c>
      <c r="G294" s="23">
        <v>1</v>
      </c>
    </row>
    <row r="295" spans="2:7" x14ac:dyDescent="0.2">
      <c r="B295" s="84">
        <v>5710</v>
      </c>
      <c r="C295" s="28" t="s">
        <v>902</v>
      </c>
      <c r="D295" s="23" t="s">
        <v>558</v>
      </c>
      <c r="E295" s="23">
        <v>200</v>
      </c>
      <c r="G295" s="23">
        <v>1</v>
      </c>
    </row>
    <row r="296" spans="2:7" x14ac:dyDescent="0.2">
      <c r="B296" s="85">
        <v>5708</v>
      </c>
      <c r="C296" s="28" t="s">
        <v>900</v>
      </c>
      <c r="D296" s="23" t="s">
        <v>558</v>
      </c>
      <c r="E296" s="23">
        <v>180</v>
      </c>
      <c r="G296" s="23">
        <v>1</v>
      </c>
    </row>
    <row r="297" spans="2:7" x14ac:dyDescent="0.2">
      <c r="B297" s="84">
        <v>5711</v>
      </c>
      <c r="C297" s="28" t="s">
        <v>903</v>
      </c>
      <c r="D297" s="23" t="s">
        <v>558</v>
      </c>
      <c r="E297" s="23">
        <v>180</v>
      </c>
      <c r="G297" s="23">
        <v>1</v>
      </c>
    </row>
    <row r="298" spans="2:7" x14ac:dyDescent="0.2">
      <c r="B298" s="85">
        <v>2764</v>
      </c>
      <c r="C298" s="28" t="s">
        <v>676</v>
      </c>
      <c r="D298" s="23" t="s">
        <v>558</v>
      </c>
      <c r="E298" s="23">
        <v>350</v>
      </c>
      <c r="G298" s="23">
        <v>1</v>
      </c>
    </row>
    <row r="299" spans="2:7" x14ac:dyDescent="0.2">
      <c r="B299" s="85">
        <v>2765</v>
      </c>
      <c r="C299" s="28" t="s">
        <v>814</v>
      </c>
      <c r="D299" s="23" t="s">
        <v>558</v>
      </c>
      <c r="E299" s="23">
        <v>350</v>
      </c>
      <c r="G299" s="23">
        <v>1</v>
      </c>
    </row>
    <row r="300" spans="2:7" x14ac:dyDescent="0.2">
      <c r="B300" s="85">
        <v>2766</v>
      </c>
      <c r="C300" s="28" t="s">
        <v>815</v>
      </c>
      <c r="D300" s="23" t="s">
        <v>558</v>
      </c>
      <c r="E300" s="23">
        <v>350</v>
      </c>
      <c r="G300" s="23">
        <v>1</v>
      </c>
    </row>
    <row r="301" spans="2:7" x14ac:dyDescent="0.2">
      <c r="B301" s="85">
        <v>2767</v>
      </c>
      <c r="C301" s="28" t="s">
        <v>816</v>
      </c>
      <c r="D301" s="23" t="s">
        <v>558</v>
      </c>
      <c r="E301" s="23">
        <v>350</v>
      </c>
      <c r="G301" s="23">
        <v>1</v>
      </c>
    </row>
    <row r="302" spans="2:7" x14ac:dyDescent="0.2">
      <c r="B302" s="85">
        <v>2768</v>
      </c>
      <c r="C302" s="28" t="s">
        <v>817</v>
      </c>
      <c r="D302" s="23" t="s">
        <v>558</v>
      </c>
      <c r="E302" s="23">
        <v>350</v>
      </c>
      <c r="G302" s="23">
        <v>1</v>
      </c>
    </row>
    <row r="303" spans="2:7" x14ac:dyDescent="0.2">
      <c r="B303" s="85">
        <v>2893</v>
      </c>
      <c r="C303" s="28" t="s">
        <v>677</v>
      </c>
      <c r="D303" s="23" t="s">
        <v>577</v>
      </c>
      <c r="E303" s="23">
        <v>690</v>
      </c>
      <c r="G303" s="23">
        <v>2</v>
      </c>
    </row>
    <row r="304" spans="2:7" x14ac:dyDescent="0.2">
      <c r="B304" s="85">
        <v>2894</v>
      </c>
      <c r="C304" s="28" t="s">
        <v>678</v>
      </c>
      <c r="D304" s="23" t="s">
        <v>578</v>
      </c>
      <c r="E304" s="23">
        <v>690</v>
      </c>
      <c r="G304" s="23">
        <v>2</v>
      </c>
    </row>
    <row r="305" spans="2:7" x14ac:dyDescent="0.2">
      <c r="B305" s="85">
        <v>2895</v>
      </c>
      <c r="C305" s="28" t="s">
        <v>679</v>
      </c>
      <c r="D305" s="23" t="s">
        <v>570</v>
      </c>
      <c r="E305" s="23">
        <v>690</v>
      </c>
      <c r="G305" s="23">
        <v>2</v>
      </c>
    </row>
    <row r="306" spans="2:7" x14ac:dyDescent="0.2">
      <c r="B306" s="85">
        <v>2896</v>
      </c>
      <c r="C306" s="28" t="s">
        <v>680</v>
      </c>
      <c r="D306" s="23" t="s">
        <v>562</v>
      </c>
      <c r="E306" s="23">
        <v>690</v>
      </c>
      <c r="G306" s="23">
        <v>2</v>
      </c>
    </row>
    <row r="307" spans="2:7" x14ac:dyDescent="0.2">
      <c r="B307" s="85">
        <v>2897</v>
      </c>
      <c r="C307" s="28" t="s">
        <v>681</v>
      </c>
      <c r="D307" s="23" t="s">
        <v>563</v>
      </c>
      <c r="E307" s="23">
        <v>690</v>
      </c>
      <c r="G307" s="23">
        <v>2</v>
      </c>
    </row>
    <row r="308" spans="2:7" x14ac:dyDescent="0.2">
      <c r="B308" s="85">
        <v>2898</v>
      </c>
      <c r="C308" s="28" t="s">
        <v>682</v>
      </c>
      <c r="D308" s="23" t="s">
        <v>564</v>
      </c>
      <c r="E308" s="23">
        <v>690</v>
      </c>
      <c r="G308" s="23">
        <v>2</v>
      </c>
    </row>
    <row r="309" spans="2:7" x14ac:dyDescent="0.2">
      <c r="B309" s="85">
        <v>2899</v>
      </c>
      <c r="C309" s="28" t="s">
        <v>683</v>
      </c>
      <c r="D309" s="23" t="s">
        <v>565</v>
      </c>
      <c r="E309" s="23">
        <v>690</v>
      </c>
      <c r="G309" s="23">
        <v>2</v>
      </c>
    </row>
    <row r="310" spans="2:7" x14ac:dyDescent="0.2">
      <c r="B310" s="85">
        <v>2900</v>
      </c>
      <c r="C310" s="28" t="s">
        <v>684</v>
      </c>
      <c r="D310" s="23" t="s">
        <v>566</v>
      </c>
      <c r="E310" s="23">
        <v>690</v>
      </c>
      <c r="G310" s="23">
        <v>2</v>
      </c>
    </row>
    <row r="311" spans="2:7" x14ac:dyDescent="0.2">
      <c r="B311" s="85">
        <v>2901</v>
      </c>
      <c r="C311" s="28" t="s">
        <v>685</v>
      </c>
      <c r="D311" s="23" t="s">
        <v>567</v>
      </c>
      <c r="E311" s="23">
        <v>690</v>
      </c>
      <c r="G311" s="23">
        <v>2</v>
      </c>
    </row>
    <row r="312" spans="2:7" x14ac:dyDescent="0.2">
      <c r="B312" s="85">
        <v>2902</v>
      </c>
      <c r="C312" s="28" t="s">
        <v>686</v>
      </c>
      <c r="D312" s="23" t="s">
        <v>568</v>
      </c>
      <c r="E312" s="23">
        <v>690</v>
      </c>
      <c r="G312" s="23">
        <v>2</v>
      </c>
    </row>
    <row r="313" spans="2:7" x14ac:dyDescent="0.2">
      <c r="B313" s="85">
        <v>2903</v>
      </c>
      <c r="C313" s="28" t="s">
        <v>687</v>
      </c>
      <c r="D313" s="23" t="s">
        <v>569</v>
      </c>
      <c r="E313" s="23">
        <v>690</v>
      </c>
      <c r="G313" s="23">
        <v>2</v>
      </c>
    </row>
    <row r="314" spans="2:7" x14ac:dyDescent="0.2">
      <c r="B314" s="85">
        <v>2925</v>
      </c>
      <c r="C314" s="28" t="s">
        <v>819</v>
      </c>
      <c r="D314" s="23" t="s">
        <v>558</v>
      </c>
      <c r="E314" s="23">
        <v>15</v>
      </c>
      <c r="G314" s="23">
        <v>2</v>
      </c>
    </row>
    <row r="315" spans="2:7" x14ac:dyDescent="0.2">
      <c r="B315" s="85">
        <v>2926</v>
      </c>
      <c r="C315" s="28" t="s">
        <v>688</v>
      </c>
      <c r="D315" s="23" t="s">
        <v>558</v>
      </c>
      <c r="E315" s="23">
        <v>15</v>
      </c>
      <c r="G315" s="23">
        <v>2</v>
      </c>
    </row>
    <row r="316" spans="2:7" x14ac:dyDescent="0.2">
      <c r="B316" s="85">
        <v>2927</v>
      </c>
      <c r="C316" s="28" t="s">
        <v>689</v>
      </c>
      <c r="D316" s="23" t="s">
        <v>558</v>
      </c>
      <c r="E316" s="23">
        <v>15</v>
      </c>
      <c r="G316" s="23">
        <v>2</v>
      </c>
    </row>
    <row r="317" spans="2:7" x14ac:dyDescent="0.2">
      <c r="B317" s="85">
        <v>2928</v>
      </c>
      <c r="C317" s="28" t="s">
        <v>820</v>
      </c>
      <c r="D317" s="23" t="s">
        <v>558</v>
      </c>
      <c r="E317" s="23">
        <v>15</v>
      </c>
      <c r="G317" s="23">
        <v>2</v>
      </c>
    </row>
    <row r="318" spans="2:7" x14ac:dyDescent="0.2">
      <c r="B318" s="85">
        <v>2929</v>
      </c>
      <c r="C318" s="28" t="s">
        <v>690</v>
      </c>
      <c r="D318" s="23" t="s">
        <v>558</v>
      </c>
      <c r="E318" s="23">
        <v>15</v>
      </c>
      <c r="G318" s="23">
        <v>2</v>
      </c>
    </row>
    <row r="319" spans="2:7" x14ac:dyDescent="0.2">
      <c r="B319" s="85">
        <v>2936</v>
      </c>
      <c r="C319" s="28" t="s">
        <v>691</v>
      </c>
      <c r="D319" s="23" t="s">
        <v>558</v>
      </c>
      <c r="E319" s="23">
        <v>15</v>
      </c>
      <c r="G319" s="23">
        <v>2</v>
      </c>
    </row>
    <row r="320" spans="2:7" x14ac:dyDescent="0.2">
      <c r="B320" s="85">
        <v>2938</v>
      </c>
      <c r="C320" s="28" t="s">
        <v>692</v>
      </c>
      <c r="D320" s="23" t="s">
        <v>558</v>
      </c>
      <c r="E320" s="23">
        <v>15</v>
      </c>
      <c r="G320" s="23">
        <v>2</v>
      </c>
    </row>
    <row r="321" spans="2:7" x14ac:dyDescent="0.2">
      <c r="B321" s="85">
        <v>2939</v>
      </c>
      <c r="C321" s="28" t="s">
        <v>821</v>
      </c>
      <c r="D321" s="23" t="s">
        <v>558</v>
      </c>
      <c r="E321" s="23">
        <v>50</v>
      </c>
      <c r="G321" s="23">
        <v>2</v>
      </c>
    </row>
    <row r="322" spans="2:7" x14ac:dyDescent="0.2">
      <c r="B322" s="85">
        <v>2940</v>
      </c>
      <c r="C322" s="28" t="s">
        <v>822</v>
      </c>
      <c r="D322" s="23" t="s">
        <v>558</v>
      </c>
      <c r="E322" s="23">
        <v>50</v>
      </c>
      <c r="G322" s="23">
        <v>2</v>
      </c>
    </row>
    <row r="323" spans="2:7" x14ac:dyDescent="0.2">
      <c r="B323" s="85">
        <v>2951</v>
      </c>
      <c r="C323" s="28" t="s">
        <v>828</v>
      </c>
      <c r="D323" s="23" t="s">
        <v>558</v>
      </c>
      <c r="E323" s="23">
        <v>50</v>
      </c>
      <c r="G323" s="23">
        <v>2</v>
      </c>
    </row>
    <row r="324" spans="2:7" x14ac:dyDescent="0.2">
      <c r="B324" s="85">
        <v>2942</v>
      </c>
      <c r="C324" s="28" t="s">
        <v>823</v>
      </c>
      <c r="D324" s="23" t="s">
        <v>558</v>
      </c>
      <c r="E324" s="23">
        <v>15</v>
      </c>
      <c r="G324" s="23">
        <v>2</v>
      </c>
    </row>
    <row r="325" spans="2:7" x14ac:dyDescent="0.2">
      <c r="B325" s="85">
        <v>2943</v>
      </c>
      <c r="C325" s="28" t="s">
        <v>824</v>
      </c>
      <c r="D325" s="23" t="s">
        <v>558</v>
      </c>
      <c r="E325" s="23">
        <v>15</v>
      </c>
      <c r="G325" s="23">
        <v>2</v>
      </c>
    </row>
    <row r="326" spans="2:7" x14ac:dyDescent="0.2">
      <c r="B326" s="85">
        <v>2944</v>
      </c>
      <c r="C326" s="28" t="s">
        <v>825</v>
      </c>
      <c r="D326" s="23" t="s">
        <v>558</v>
      </c>
      <c r="E326" s="23">
        <v>15</v>
      </c>
      <c r="G326" s="23">
        <v>2</v>
      </c>
    </row>
    <row r="327" spans="2:7" x14ac:dyDescent="0.2">
      <c r="B327" s="85">
        <v>2945</v>
      </c>
      <c r="C327" s="28" t="s">
        <v>826</v>
      </c>
      <c r="D327" s="23" t="s">
        <v>558</v>
      </c>
      <c r="E327" s="23">
        <v>15</v>
      </c>
      <c r="G327" s="23">
        <v>2</v>
      </c>
    </row>
    <row r="328" spans="2:7" x14ac:dyDescent="0.2">
      <c r="B328" s="85">
        <v>2946</v>
      </c>
      <c r="C328" s="28" t="s">
        <v>827</v>
      </c>
      <c r="D328" s="23" t="s">
        <v>558</v>
      </c>
      <c r="E328" s="23">
        <v>15</v>
      </c>
      <c r="G328" s="23">
        <v>2</v>
      </c>
    </row>
    <row r="329" spans="2:7" x14ac:dyDescent="0.2">
      <c r="B329" s="85">
        <v>6204</v>
      </c>
      <c r="C329" s="28" t="s">
        <v>609</v>
      </c>
      <c r="D329" s="23" t="s">
        <v>558</v>
      </c>
      <c r="E329" s="23">
        <v>50</v>
      </c>
      <c r="G329" s="23">
        <v>2</v>
      </c>
    </row>
    <row r="330" spans="2:7" x14ac:dyDescent="0.2">
      <c r="B330" s="85">
        <v>2951</v>
      </c>
      <c r="C330" s="28" t="s">
        <v>693</v>
      </c>
      <c r="D330" s="23" t="s">
        <v>558</v>
      </c>
      <c r="E330" s="23">
        <v>50</v>
      </c>
      <c r="G330" s="23">
        <v>2</v>
      </c>
    </row>
    <row r="331" spans="2:7" x14ac:dyDescent="0.2">
      <c r="B331" s="85">
        <v>5747</v>
      </c>
      <c r="C331" s="28" t="s">
        <v>604</v>
      </c>
      <c r="D331" s="23" t="s">
        <v>558</v>
      </c>
      <c r="E331" s="23">
        <v>25</v>
      </c>
      <c r="G331" s="23">
        <v>2</v>
      </c>
    </row>
    <row r="332" spans="2:7" x14ac:dyDescent="0.2">
      <c r="B332" s="85">
        <v>5763</v>
      </c>
      <c r="C332" s="28" t="s">
        <v>882</v>
      </c>
      <c r="D332" s="23" t="s">
        <v>558</v>
      </c>
      <c r="E332" s="23">
        <v>25</v>
      </c>
      <c r="G332" s="23">
        <v>2</v>
      </c>
    </row>
    <row r="333" spans="2:7" x14ac:dyDescent="0.2">
      <c r="B333" s="85">
        <v>5748</v>
      </c>
      <c r="C333" s="28" t="s">
        <v>881</v>
      </c>
      <c r="D333" s="23" t="s">
        <v>558</v>
      </c>
      <c r="E333" s="23">
        <v>115</v>
      </c>
      <c r="G333" s="23">
        <v>2</v>
      </c>
    </row>
    <row r="334" spans="2:7" x14ac:dyDescent="0.2">
      <c r="B334" s="85">
        <v>2952</v>
      </c>
      <c r="C334" s="28" t="s">
        <v>829</v>
      </c>
      <c r="D334" s="23" t="s">
        <v>558</v>
      </c>
      <c r="E334" s="23">
        <v>115</v>
      </c>
      <c r="G334" s="23">
        <v>2</v>
      </c>
    </row>
    <row r="335" spans="2:7" x14ac:dyDescent="0.2">
      <c r="B335" s="85">
        <v>5730</v>
      </c>
      <c r="C335" s="28" t="s">
        <v>880</v>
      </c>
      <c r="D335" s="23" t="s">
        <v>558</v>
      </c>
      <c r="E335" s="23">
        <v>130</v>
      </c>
      <c r="G335" s="23">
        <v>2</v>
      </c>
    </row>
    <row r="336" spans="2:7" x14ac:dyDescent="0.2">
      <c r="B336" s="85">
        <v>6144</v>
      </c>
      <c r="C336" s="28" t="s">
        <v>886</v>
      </c>
      <c r="D336" s="23" t="s">
        <v>558</v>
      </c>
      <c r="E336" s="23">
        <v>115</v>
      </c>
      <c r="G336" s="23">
        <v>2</v>
      </c>
    </row>
    <row r="337" spans="2:7" x14ac:dyDescent="0.2">
      <c r="B337" s="85">
        <v>5729</v>
      </c>
      <c r="C337" s="28" t="s">
        <v>603</v>
      </c>
      <c r="D337" s="23" t="s">
        <v>558</v>
      </c>
      <c r="E337" s="23">
        <v>35</v>
      </c>
      <c r="G337" s="23">
        <v>2</v>
      </c>
    </row>
    <row r="338" spans="2:7" x14ac:dyDescent="0.2">
      <c r="B338" s="85">
        <v>6143</v>
      </c>
      <c r="C338" s="28" t="s">
        <v>885</v>
      </c>
      <c r="D338" s="23" t="s">
        <v>558</v>
      </c>
      <c r="E338" s="23">
        <v>25</v>
      </c>
      <c r="G338" s="23">
        <v>2</v>
      </c>
    </row>
    <row r="339" spans="2:7" x14ac:dyDescent="0.2">
      <c r="B339" s="85">
        <v>6149</v>
      </c>
      <c r="C339" s="28" t="s">
        <v>887</v>
      </c>
      <c r="D339" s="23" t="s">
        <v>558</v>
      </c>
      <c r="E339" s="23">
        <v>25</v>
      </c>
      <c r="G339" s="23">
        <v>2</v>
      </c>
    </row>
    <row r="340" spans="2:7" x14ac:dyDescent="0.2">
      <c r="B340" s="85">
        <v>4979</v>
      </c>
      <c r="C340" s="28" t="s">
        <v>720</v>
      </c>
      <c r="D340" s="23" t="s">
        <v>558</v>
      </c>
      <c r="E340" s="23">
        <v>25</v>
      </c>
      <c r="G340" s="23">
        <v>2</v>
      </c>
    </row>
    <row r="341" spans="2:7" x14ac:dyDescent="0.2">
      <c r="B341" s="85">
        <v>4982</v>
      </c>
      <c r="C341" s="28" t="s">
        <v>843</v>
      </c>
      <c r="D341" s="23" t="s">
        <v>558</v>
      </c>
      <c r="E341" s="23">
        <v>115</v>
      </c>
      <c r="G341" s="23">
        <v>2</v>
      </c>
    </row>
    <row r="342" spans="2:7" x14ac:dyDescent="0.2">
      <c r="B342" s="85">
        <v>4983</v>
      </c>
      <c r="C342" s="28" t="s">
        <v>844</v>
      </c>
      <c r="D342" s="23" t="s">
        <v>558</v>
      </c>
      <c r="E342" s="23">
        <v>115</v>
      </c>
      <c r="G342" s="23">
        <v>2</v>
      </c>
    </row>
    <row r="343" spans="2:7" x14ac:dyDescent="0.2">
      <c r="B343" s="85">
        <v>4985</v>
      </c>
      <c r="C343" s="28" t="s">
        <v>845</v>
      </c>
      <c r="D343" s="23" t="s">
        <v>558</v>
      </c>
      <c r="E343" s="23">
        <v>115</v>
      </c>
      <c r="G343" s="23">
        <v>2</v>
      </c>
    </row>
    <row r="344" spans="2:7" x14ac:dyDescent="0.2">
      <c r="B344" s="85">
        <v>4978</v>
      </c>
      <c r="C344" s="28" t="s">
        <v>840</v>
      </c>
      <c r="D344" s="23" t="s">
        <v>558</v>
      </c>
      <c r="E344" s="23">
        <v>25</v>
      </c>
      <c r="G344" s="23">
        <v>2</v>
      </c>
    </row>
    <row r="345" spans="2:7" x14ac:dyDescent="0.2">
      <c r="B345" s="85">
        <v>4981</v>
      </c>
      <c r="C345" s="28" t="s">
        <v>842</v>
      </c>
      <c r="D345" s="23" t="s">
        <v>558</v>
      </c>
      <c r="E345" s="23">
        <v>25</v>
      </c>
      <c r="G345" s="23">
        <v>2</v>
      </c>
    </row>
    <row r="346" spans="2:7" x14ac:dyDescent="0.2">
      <c r="B346" s="85">
        <v>4980</v>
      </c>
      <c r="C346" s="28" t="s">
        <v>841</v>
      </c>
      <c r="D346" s="23" t="s">
        <v>558</v>
      </c>
      <c r="E346" s="23">
        <v>25</v>
      </c>
      <c r="G346" s="23">
        <v>2</v>
      </c>
    </row>
    <row r="347" spans="2:7" x14ac:dyDescent="0.2">
      <c r="B347" s="85">
        <v>5746</v>
      </c>
      <c r="C347" s="28" t="s">
        <v>915</v>
      </c>
      <c r="D347" s="23" t="s">
        <v>558</v>
      </c>
      <c r="E347" s="23">
        <v>25</v>
      </c>
      <c r="G347" s="23">
        <v>2</v>
      </c>
    </row>
    <row r="348" spans="2:7" x14ac:dyDescent="0.2">
      <c r="B348" s="84">
        <v>6874</v>
      </c>
      <c r="C348" s="28" t="s">
        <v>891</v>
      </c>
      <c r="D348" s="23" t="s">
        <v>558</v>
      </c>
      <c r="E348" s="23">
        <v>30</v>
      </c>
      <c r="G348" s="23">
        <v>1</v>
      </c>
    </row>
    <row r="349" spans="2:7" x14ac:dyDescent="0.2">
      <c r="B349" s="85">
        <v>3193</v>
      </c>
      <c r="C349" s="28" t="s">
        <v>832</v>
      </c>
      <c r="D349" s="23" t="s">
        <v>596</v>
      </c>
      <c r="E349" s="23">
        <v>350</v>
      </c>
      <c r="G349" s="23">
        <v>2</v>
      </c>
    </row>
    <row r="350" spans="2:7" x14ac:dyDescent="0.2">
      <c r="B350" s="85">
        <v>3194</v>
      </c>
      <c r="C350" s="28" t="s">
        <v>833</v>
      </c>
      <c r="D350" s="23" t="s">
        <v>598</v>
      </c>
      <c r="E350" s="23">
        <v>350</v>
      </c>
      <c r="G350" s="23">
        <v>2</v>
      </c>
    </row>
    <row r="351" spans="2:7" x14ac:dyDescent="0.2">
      <c r="B351" s="85">
        <v>3195</v>
      </c>
      <c r="C351" s="28" t="s">
        <v>834</v>
      </c>
      <c r="D351" s="23" t="s">
        <v>595</v>
      </c>
      <c r="E351" s="23">
        <v>350</v>
      </c>
      <c r="G351" s="23">
        <v>2</v>
      </c>
    </row>
    <row r="352" spans="2:7" x14ac:dyDescent="0.2">
      <c r="B352" s="85">
        <v>3196</v>
      </c>
      <c r="C352" s="28" t="s">
        <v>835</v>
      </c>
      <c r="D352" s="23" t="s">
        <v>594</v>
      </c>
      <c r="E352" s="23">
        <v>350</v>
      </c>
      <c r="G352" s="23">
        <v>2</v>
      </c>
    </row>
    <row r="353" spans="2:7" x14ac:dyDescent="0.2">
      <c r="B353" s="85">
        <v>3197</v>
      </c>
      <c r="C353" s="28" t="s">
        <v>836</v>
      </c>
      <c r="D353" s="23" t="s">
        <v>597</v>
      </c>
      <c r="E353" s="23">
        <v>350</v>
      </c>
      <c r="G353" s="23">
        <v>2</v>
      </c>
    </row>
    <row r="354" spans="2:7" x14ac:dyDescent="0.2">
      <c r="B354" s="85">
        <v>3200</v>
      </c>
      <c r="C354" s="28" t="s">
        <v>694</v>
      </c>
      <c r="D354" s="23" t="s">
        <v>595</v>
      </c>
      <c r="E354" s="23">
        <v>350</v>
      </c>
      <c r="G354" s="23">
        <v>2</v>
      </c>
    </row>
    <row r="355" spans="2:7" x14ac:dyDescent="0.2">
      <c r="B355" s="85">
        <v>3201</v>
      </c>
      <c r="C355" s="28" t="s">
        <v>695</v>
      </c>
      <c r="D355" s="23" t="s">
        <v>594</v>
      </c>
      <c r="E355" s="23">
        <v>350</v>
      </c>
      <c r="G355" s="23">
        <v>2</v>
      </c>
    </row>
    <row r="356" spans="2:7" x14ac:dyDescent="0.2">
      <c r="B356" s="85">
        <v>3202</v>
      </c>
      <c r="C356" s="28" t="s">
        <v>696</v>
      </c>
      <c r="D356" s="23" t="s">
        <v>597</v>
      </c>
      <c r="E356" s="23">
        <v>350</v>
      </c>
      <c r="G356" s="23">
        <v>2</v>
      </c>
    </row>
    <row r="357" spans="2:7" x14ac:dyDescent="0.2">
      <c r="B357" s="85">
        <v>6213</v>
      </c>
      <c r="C357" s="28" t="s">
        <v>610</v>
      </c>
      <c r="D357" s="23" t="s">
        <v>558</v>
      </c>
      <c r="E357" s="23">
        <v>200</v>
      </c>
      <c r="G357" s="23">
        <v>1</v>
      </c>
    </row>
    <row r="358" spans="2:7" x14ac:dyDescent="0.2">
      <c r="B358" s="85">
        <v>3252</v>
      </c>
      <c r="C358" s="28" t="s">
        <v>697</v>
      </c>
      <c r="D358" s="23" t="s">
        <v>558</v>
      </c>
      <c r="E358" s="23">
        <v>65</v>
      </c>
      <c r="G358" s="23">
        <v>1</v>
      </c>
    </row>
    <row r="359" spans="2:7" x14ac:dyDescent="0.2">
      <c r="B359" s="85">
        <v>3735</v>
      </c>
      <c r="C359" s="28" t="s">
        <v>698</v>
      </c>
      <c r="D359" s="23" t="s">
        <v>577</v>
      </c>
      <c r="E359" s="23">
        <v>550</v>
      </c>
      <c r="G359" s="23">
        <v>2</v>
      </c>
    </row>
    <row r="360" spans="2:7" x14ac:dyDescent="0.2">
      <c r="B360" s="85">
        <v>3736</v>
      </c>
      <c r="C360" s="28" t="s">
        <v>699</v>
      </c>
      <c r="D360" s="23" t="s">
        <v>578</v>
      </c>
      <c r="E360" s="23">
        <v>550</v>
      </c>
      <c r="G360" s="23">
        <v>2</v>
      </c>
    </row>
    <row r="361" spans="2:7" x14ac:dyDescent="0.2">
      <c r="B361" s="85">
        <v>3737</v>
      </c>
      <c r="C361" s="28" t="s">
        <v>700</v>
      </c>
      <c r="D361" s="23" t="s">
        <v>570</v>
      </c>
      <c r="E361" s="23">
        <v>550</v>
      </c>
      <c r="G361" s="23">
        <v>2</v>
      </c>
    </row>
    <row r="362" spans="2:7" x14ac:dyDescent="0.2">
      <c r="B362" s="85">
        <v>3738</v>
      </c>
      <c r="C362" s="28" t="s">
        <v>701</v>
      </c>
      <c r="D362" s="23" t="s">
        <v>562</v>
      </c>
      <c r="E362" s="23">
        <v>550</v>
      </c>
      <c r="G362" s="23">
        <v>2</v>
      </c>
    </row>
    <row r="363" spans="2:7" x14ac:dyDescent="0.2">
      <c r="B363" s="85">
        <v>3739</v>
      </c>
      <c r="C363" s="28" t="s">
        <v>702</v>
      </c>
      <c r="D363" s="23" t="s">
        <v>563</v>
      </c>
      <c r="E363" s="23">
        <v>550</v>
      </c>
      <c r="G363" s="23">
        <v>2</v>
      </c>
    </row>
    <row r="364" spans="2:7" x14ac:dyDescent="0.2">
      <c r="B364" s="85">
        <v>3740</v>
      </c>
      <c r="C364" s="28" t="s">
        <v>703</v>
      </c>
      <c r="D364" s="23" t="s">
        <v>564</v>
      </c>
      <c r="E364" s="23">
        <v>550</v>
      </c>
      <c r="G364" s="23">
        <v>2</v>
      </c>
    </row>
    <row r="365" spans="2:7" x14ac:dyDescent="0.2">
      <c r="B365" s="85">
        <v>3741</v>
      </c>
      <c r="C365" s="28" t="s">
        <v>704</v>
      </c>
      <c r="D365" s="23" t="s">
        <v>565</v>
      </c>
      <c r="E365" s="23">
        <v>550</v>
      </c>
      <c r="G365" s="23">
        <v>2</v>
      </c>
    </row>
    <row r="366" spans="2:7" x14ac:dyDescent="0.2">
      <c r="B366" s="85">
        <v>3742</v>
      </c>
      <c r="C366" s="28" t="s">
        <v>705</v>
      </c>
      <c r="D366" s="23" t="s">
        <v>566</v>
      </c>
      <c r="E366" s="23">
        <v>550</v>
      </c>
      <c r="G366" s="23">
        <v>2</v>
      </c>
    </row>
    <row r="367" spans="2:7" x14ac:dyDescent="0.2">
      <c r="B367" s="85">
        <v>3743</v>
      </c>
      <c r="C367" s="28" t="s">
        <v>706</v>
      </c>
      <c r="D367" s="23" t="s">
        <v>567</v>
      </c>
      <c r="E367" s="23">
        <v>550</v>
      </c>
      <c r="G367" s="23">
        <v>2</v>
      </c>
    </row>
    <row r="368" spans="2:7" x14ac:dyDescent="0.2">
      <c r="B368" s="85">
        <v>3744</v>
      </c>
      <c r="C368" s="28" t="s">
        <v>707</v>
      </c>
      <c r="D368" s="23" t="s">
        <v>568</v>
      </c>
      <c r="E368" s="23">
        <v>550</v>
      </c>
      <c r="G368" s="23">
        <v>2</v>
      </c>
    </row>
    <row r="369" spans="1:7" x14ac:dyDescent="0.2">
      <c r="B369" s="85">
        <v>3745</v>
      </c>
      <c r="C369" s="28" t="s">
        <v>708</v>
      </c>
      <c r="D369" s="23" t="s">
        <v>569</v>
      </c>
      <c r="E369" s="23">
        <v>550</v>
      </c>
      <c r="G369" s="23">
        <v>2</v>
      </c>
    </row>
    <row r="370" spans="1:7" x14ac:dyDescent="0.2">
      <c r="A370" s="23"/>
      <c r="B370" s="85">
        <v>6956</v>
      </c>
      <c r="C370" s="28" t="s">
        <v>917</v>
      </c>
      <c r="D370" s="23" t="s">
        <v>558</v>
      </c>
      <c r="E370" s="23">
        <v>40</v>
      </c>
      <c r="G370" s="28">
        <v>1</v>
      </c>
    </row>
    <row r="371" spans="1:7" x14ac:dyDescent="0.2">
      <c r="A371" s="23"/>
      <c r="B371" s="85">
        <v>6957</v>
      </c>
      <c r="C371" s="28" t="s">
        <v>918</v>
      </c>
      <c r="D371" s="23" t="s">
        <v>558</v>
      </c>
      <c r="E371" s="23">
        <v>45</v>
      </c>
      <c r="G371" s="28">
        <v>1</v>
      </c>
    </row>
    <row r="372" spans="1:7" x14ac:dyDescent="0.2">
      <c r="A372" s="23"/>
      <c r="B372" s="85">
        <v>6958</v>
      </c>
      <c r="C372" s="28" t="s">
        <v>919</v>
      </c>
      <c r="D372" s="23" t="s">
        <v>558</v>
      </c>
      <c r="E372" s="23">
        <v>25</v>
      </c>
      <c r="G372" s="28">
        <v>1</v>
      </c>
    </row>
    <row r="373" spans="1:7" x14ac:dyDescent="0.2">
      <c r="A373" s="23"/>
      <c r="B373" s="85">
        <v>6959</v>
      </c>
      <c r="C373" s="28" t="s">
        <v>920</v>
      </c>
      <c r="D373" s="23" t="s">
        <v>558</v>
      </c>
      <c r="E373" s="23">
        <v>25</v>
      </c>
      <c r="G373" s="28">
        <v>1</v>
      </c>
    </row>
    <row r="374" spans="1:7" x14ac:dyDescent="0.2">
      <c r="A374" s="23"/>
      <c r="B374" s="85">
        <v>6960</v>
      </c>
      <c r="C374" s="28" t="s">
        <v>921</v>
      </c>
      <c r="D374" s="23" t="s">
        <v>558</v>
      </c>
      <c r="E374" s="23">
        <v>35</v>
      </c>
      <c r="G374" s="28">
        <v>1</v>
      </c>
    </row>
    <row r="375" spans="1:7" x14ac:dyDescent="0.2">
      <c r="A375" s="23"/>
      <c r="B375" s="85">
        <v>6961</v>
      </c>
      <c r="C375" s="28" t="s">
        <v>922</v>
      </c>
      <c r="D375" s="23" t="s">
        <v>558</v>
      </c>
      <c r="E375" s="23">
        <v>20</v>
      </c>
      <c r="G375" s="28">
        <v>1</v>
      </c>
    </row>
    <row r="376" spans="1:7" x14ac:dyDescent="0.2">
      <c r="A376" s="23"/>
      <c r="B376" s="85">
        <v>6963</v>
      </c>
      <c r="C376" s="28" t="s">
        <v>923</v>
      </c>
      <c r="D376" s="23" t="s">
        <v>558</v>
      </c>
      <c r="E376" s="23">
        <v>30</v>
      </c>
      <c r="G376" s="28">
        <v>1</v>
      </c>
    </row>
    <row r="377" spans="1:7" x14ac:dyDescent="0.2">
      <c r="A377" s="23"/>
      <c r="B377" s="85">
        <v>6964</v>
      </c>
      <c r="C377" s="28" t="s">
        <v>924</v>
      </c>
      <c r="D377" s="23" t="s">
        <v>558</v>
      </c>
      <c r="E377" s="23">
        <v>30</v>
      </c>
      <c r="G377" s="28">
        <v>1</v>
      </c>
    </row>
    <row r="378" spans="1:7" x14ac:dyDescent="0.2">
      <c r="A378" s="23"/>
      <c r="B378" s="85">
        <v>6965</v>
      </c>
      <c r="C378" s="28" t="s">
        <v>925</v>
      </c>
      <c r="D378" s="23" t="s">
        <v>558</v>
      </c>
      <c r="E378" s="23">
        <v>20</v>
      </c>
      <c r="G378" s="28">
        <v>1</v>
      </c>
    </row>
    <row r="379" spans="1:7" x14ac:dyDescent="0.2">
      <c r="A379" s="23"/>
      <c r="C379" s="28" t="str">
        <f t="shared" ref="C379:C383" si="1">MID(B379,8,80)</f>
        <v/>
      </c>
    </row>
    <row r="380" spans="1:7" x14ac:dyDescent="0.2">
      <c r="A380" s="23"/>
      <c r="C380" s="28" t="str">
        <f t="shared" si="1"/>
        <v/>
      </c>
    </row>
    <row r="381" spans="1:7" x14ac:dyDescent="0.2">
      <c r="A381" s="23"/>
      <c r="C381" s="28" t="str">
        <f t="shared" si="1"/>
        <v/>
      </c>
    </row>
    <row r="382" spans="1:7" x14ac:dyDescent="0.2">
      <c r="A382" s="23"/>
      <c r="C382" s="28" t="str">
        <f t="shared" si="1"/>
        <v/>
      </c>
    </row>
    <row r="383" spans="1:7" x14ac:dyDescent="0.2">
      <c r="A383" s="23"/>
      <c r="C383" s="28" t="str">
        <f t="shared" si="1"/>
        <v/>
      </c>
    </row>
    <row r="384" spans="1:7" x14ac:dyDescent="0.2">
      <c r="A384" s="23"/>
    </row>
  </sheetData>
  <sheetProtection algorithmName="SHA-512" hashValue="nHeRh372NggiqaSAxocg01cMv0frgMs93WbTErEuAbS8qVsVrZ+M14aB3HX5TNBdJ+AOun7aaul0VOokWZE0Gg==" saltValue="Meq4yLxanVTm9eGnDJ8GMw==" spinCount="100000" sheet="1" selectLockedCells="1"/>
  <sortState ref="B73:E374">
    <sortCondition ref="C73:C374"/>
  </sortState>
  <dataConsolidate/>
  <mergeCells count="9">
    <mergeCell ref="C20:E21"/>
    <mergeCell ref="C25:E25"/>
    <mergeCell ref="D10:E10"/>
    <mergeCell ref="D11:E11"/>
    <mergeCell ref="D12:E12"/>
    <mergeCell ref="D13:E13"/>
    <mergeCell ref="D14:E14"/>
    <mergeCell ref="D15:E15"/>
    <mergeCell ref="D16:E16"/>
  </mergeCells>
  <phoneticPr fontId="0" type="noConversion"/>
  <printOptions horizontalCentered="1"/>
  <pageMargins left="0.5" right="0.5" top="0.5" bottom="0.5" header="0.5" footer="0.5"/>
  <pageSetup scale="62" orientation="portrait" horizontalDpi="300" verticalDpi="300" r:id="rId1"/>
  <headerFooter alignWithMargins="0"/>
  <cellWatches>
    <cellWatch r="H50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Button 41">
              <controlPr defaultSize="0" print="0" autoFill="0" autoPict="0" macro="[0]!Lista_Productos">
                <anchor moveWithCells="1" sizeWithCells="1">
                  <from>
                    <xdr:col>2</xdr:col>
                    <xdr:colOff>447675</xdr:colOff>
                    <xdr:row>21</xdr:row>
                    <xdr:rowOff>161925</xdr:rowOff>
                  </from>
                  <to>
                    <xdr:col>3</xdr:col>
                    <xdr:colOff>342900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" name="Button 52">
              <controlPr defaultSize="0" print="0" autoFill="0" autoPict="0" macro="[0]!Imprimir_OrdenVenta">
                <anchor moveWithCells="1" sizeWithCells="1">
                  <from>
                    <xdr:col>3</xdr:col>
                    <xdr:colOff>1085850</xdr:colOff>
                    <xdr:row>21</xdr:row>
                    <xdr:rowOff>133350</xdr:rowOff>
                  </from>
                  <to>
                    <xdr:col>5</xdr:col>
                    <xdr:colOff>381000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6" name="Button 53">
              <controlPr defaultSize="0" print="0" autoFill="0" autoPict="0" macro="[0]!Claves_Bancarias">
                <anchor moveWithCells="1" sizeWithCells="1">
                  <from>
                    <xdr:col>6</xdr:col>
                    <xdr:colOff>171450</xdr:colOff>
                    <xdr:row>21</xdr:row>
                    <xdr:rowOff>161925</xdr:rowOff>
                  </from>
                  <to>
                    <xdr:col>7</xdr:col>
                    <xdr:colOff>828675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0000"/>
    <pageSetUpPr fitToPage="1"/>
  </sheetPr>
  <dimension ref="A1:G319"/>
  <sheetViews>
    <sheetView showGridLines="0" view="pageBreakPreview" zoomScale="85" zoomScaleNormal="100" zoomScaleSheetLayoutView="85" workbookViewId="0">
      <pane ySplit="4" topLeftCell="A5" activePane="bottomLeft" state="frozen"/>
      <selection pane="bottomLeft" activeCell="A5" sqref="A5"/>
    </sheetView>
  </sheetViews>
  <sheetFormatPr baseColWidth="10" defaultRowHeight="12.75" x14ac:dyDescent="0.2"/>
  <cols>
    <col min="1" max="1" width="13.85546875" style="13" bestFit="1" customWidth="1"/>
    <col min="2" max="2" width="97.5703125" style="13" bestFit="1" customWidth="1"/>
    <col min="3" max="3" width="34.5703125" style="13" customWidth="1"/>
    <col min="4" max="4" width="29.5703125" style="13" customWidth="1"/>
    <col min="5" max="6" width="11.42578125" style="13"/>
    <col min="7" max="7" width="0" style="13" hidden="1" customWidth="1"/>
    <col min="8" max="16384" width="11.42578125" style="13"/>
  </cols>
  <sheetData>
    <row r="1" spans="1:7" x14ac:dyDescent="0.2">
      <c r="A1" s="79"/>
      <c r="B1" s="79"/>
      <c r="C1" s="79"/>
      <c r="D1" s="79"/>
    </row>
    <row r="2" spans="1:7" x14ac:dyDescent="0.2">
      <c r="A2" s="79"/>
      <c r="B2" s="79"/>
      <c r="C2" s="79"/>
      <c r="D2" s="79"/>
    </row>
    <row r="3" spans="1:7" ht="13.5" thickBot="1" x14ac:dyDescent="0.25">
      <c r="A3" s="80"/>
      <c r="B3" s="80"/>
      <c r="C3" s="80"/>
      <c r="D3" s="80"/>
    </row>
    <row r="4" spans="1:7" ht="30" customHeight="1" thickTop="1" x14ac:dyDescent="0.25">
      <c r="A4" s="76" t="s">
        <v>894</v>
      </c>
      <c r="B4" s="76" t="s">
        <v>892</v>
      </c>
      <c r="C4" s="77" t="s">
        <v>895</v>
      </c>
      <c r="D4" s="78" t="s">
        <v>896</v>
      </c>
      <c r="G4" s="81" t="s">
        <v>909</v>
      </c>
    </row>
    <row r="5" spans="1:7" ht="18" x14ac:dyDescent="0.25">
      <c r="A5" s="50">
        <v>5697</v>
      </c>
      <c r="B5" s="51" t="s">
        <v>746</v>
      </c>
      <c r="C5" s="52" t="s">
        <v>593</v>
      </c>
      <c r="D5" s="54">
        <v>350</v>
      </c>
      <c r="E5" s="27"/>
      <c r="G5" s="13">
        <f>VLOOKUP(A5,'Factura de ventas'!$B$72:$G$369,6,0)</f>
        <v>2</v>
      </c>
    </row>
    <row r="6" spans="1:7" ht="18" x14ac:dyDescent="0.25">
      <c r="A6" s="50">
        <v>161</v>
      </c>
      <c r="B6" s="51" t="s">
        <v>730</v>
      </c>
      <c r="C6" s="52" t="s">
        <v>558</v>
      </c>
      <c r="D6" s="54">
        <v>310</v>
      </c>
      <c r="E6" s="27"/>
      <c r="G6" s="13">
        <f>VLOOKUP(A6,'Factura de ventas'!$B$72:$G$369,6,0)</f>
        <v>1</v>
      </c>
    </row>
    <row r="7" spans="1:7" ht="18" x14ac:dyDescent="0.25">
      <c r="A7" s="50">
        <v>165</v>
      </c>
      <c r="B7" s="51" t="s">
        <v>729</v>
      </c>
      <c r="C7" s="52" t="s">
        <v>558</v>
      </c>
      <c r="D7" s="54">
        <v>45</v>
      </c>
      <c r="E7" s="27"/>
      <c r="G7" s="13">
        <f>VLOOKUP(A7,'Factura de ventas'!$B$72:$G$369,6,0)</f>
        <v>1</v>
      </c>
    </row>
    <row r="8" spans="1:7" ht="18" x14ac:dyDescent="0.25">
      <c r="A8" s="50">
        <v>202</v>
      </c>
      <c r="B8" s="51" t="s">
        <v>637</v>
      </c>
      <c r="C8" s="52" t="s">
        <v>558</v>
      </c>
      <c r="D8" s="54">
        <v>150</v>
      </c>
      <c r="E8" s="27"/>
      <c r="G8" s="13">
        <f>VLOOKUP(A8,'Factura de ventas'!$B$72:$G$369,6,0)</f>
        <v>1</v>
      </c>
    </row>
    <row r="9" spans="1:7" ht="18" x14ac:dyDescent="0.25">
      <c r="A9" s="50">
        <v>203</v>
      </c>
      <c r="B9" s="51" t="s">
        <v>768</v>
      </c>
      <c r="C9" s="52" t="s">
        <v>558</v>
      </c>
      <c r="D9" s="54">
        <v>150</v>
      </c>
      <c r="E9" s="27"/>
      <c r="G9" s="13">
        <f>VLOOKUP(A9,'Factura de ventas'!$B$72:$G$369,6,0)</f>
        <v>1</v>
      </c>
    </row>
    <row r="10" spans="1:7" ht="18" x14ac:dyDescent="0.25">
      <c r="A10" s="50">
        <v>204</v>
      </c>
      <c r="B10" s="51" t="s">
        <v>769</v>
      </c>
      <c r="C10" s="52" t="s">
        <v>558</v>
      </c>
      <c r="D10" s="54">
        <v>150</v>
      </c>
      <c r="E10" s="27"/>
      <c r="G10" s="13">
        <f>VLOOKUP(A10,'Factura de ventas'!$B$72:$G$369,6,0)</f>
        <v>1</v>
      </c>
    </row>
    <row r="11" spans="1:7" ht="18" x14ac:dyDescent="0.25">
      <c r="A11" s="50">
        <v>205</v>
      </c>
      <c r="B11" s="51" t="s">
        <v>770</v>
      </c>
      <c r="C11" s="52" t="s">
        <v>558</v>
      </c>
      <c r="D11" s="54">
        <v>150</v>
      </c>
      <c r="E11" s="27"/>
      <c r="G11" s="13">
        <f>VLOOKUP(A11,'Factura de ventas'!$B$72:$G$369,6,0)</f>
        <v>1</v>
      </c>
    </row>
    <row r="12" spans="1:7" ht="18" x14ac:dyDescent="0.25">
      <c r="A12" s="50">
        <v>207</v>
      </c>
      <c r="B12" s="51" t="s">
        <v>638</v>
      </c>
      <c r="C12" s="52" t="s">
        <v>558</v>
      </c>
      <c r="D12" s="54">
        <v>150</v>
      </c>
      <c r="E12" s="27"/>
      <c r="G12" s="13">
        <f>VLOOKUP(A12,'Factura de ventas'!$B$72:$G$369,6,0)</f>
        <v>1</v>
      </c>
    </row>
    <row r="13" spans="1:7" ht="18" x14ac:dyDescent="0.25">
      <c r="A13" s="50">
        <v>208</v>
      </c>
      <c r="B13" s="51" t="s">
        <v>639</v>
      </c>
      <c r="C13" s="52" t="s">
        <v>558</v>
      </c>
      <c r="D13" s="54">
        <v>185</v>
      </c>
      <c r="E13" s="27"/>
      <c r="G13" s="13">
        <f>VLOOKUP(A13,'Factura de ventas'!$B$72:$G$369,6,0)</f>
        <v>1</v>
      </c>
    </row>
    <row r="14" spans="1:7" ht="18" x14ac:dyDescent="0.25">
      <c r="A14" s="50">
        <v>257</v>
      </c>
      <c r="B14" s="51" t="s">
        <v>788</v>
      </c>
      <c r="C14" s="52" t="s">
        <v>558</v>
      </c>
      <c r="D14" s="54">
        <v>140</v>
      </c>
      <c r="E14" s="27"/>
      <c r="G14" s="13">
        <f>VLOOKUP(A14,'Factura de ventas'!$B$72:$G$369,6,0)</f>
        <v>1</v>
      </c>
    </row>
    <row r="15" spans="1:7" ht="18" x14ac:dyDescent="0.25">
      <c r="A15" s="50">
        <v>5396</v>
      </c>
      <c r="B15" s="51" t="s">
        <v>723</v>
      </c>
      <c r="C15" s="52" t="s">
        <v>558</v>
      </c>
      <c r="D15" s="54">
        <v>30</v>
      </c>
      <c r="E15" s="27"/>
      <c r="G15" s="13">
        <f>VLOOKUP(A15,'Factura de ventas'!$B$72:$G$369,6,0)</f>
        <v>1</v>
      </c>
    </row>
    <row r="16" spans="1:7" ht="18" x14ac:dyDescent="0.25">
      <c r="A16" s="50">
        <v>318</v>
      </c>
      <c r="B16" s="51" t="s">
        <v>830</v>
      </c>
      <c r="C16" s="52" t="s">
        <v>596</v>
      </c>
      <c r="D16" s="54">
        <v>435</v>
      </c>
      <c r="E16" s="27"/>
      <c r="G16" s="13">
        <f>VLOOKUP(A16,'Factura de ventas'!$B$72:$G$369,6,0)</f>
        <v>2</v>
      </c>
    </row>
    <row r="17" spans="1:7" ht="18" x14ac:dyDescent="0.25">
      <c r="A17" s="50">
        <v>319</v>
      </c>
      <c r="B17" s="51" t="s">
        <v>831</v>
      </c>
      <c r="C17" s="52" t="s">
        <v>595</v>
      </c>
      <c r="D17" s="54">
        <v>435</v>
      </c>
      <c r="E17" s="27"/>
      <c r="G17" s="13">
        <f>VLOOKUP(A17,'Factura de ventas'!$B$72:$G$369,6,0)</f>
        <v>2</v>
      </c>
    </row>
    <row r="18" spans="1:7" ht="18" x14ac:dyDescent="0.25">
      <c r="A18" s="50">
        <v>320</v>
      </c>
      <c r="B18" s="51" t="s">
        <v>837</v>
      </c>
      <c r="C18" s="52" t="s">
        <v>594</v>
      </c>
      <c r="D18" s="54">
        <v>435</v>
      </c>
      <c r="E18" s="27"/>
      <c r="G18" s="13">
        <f>VLOOKUP(A18,'Factura de ventas'!$B$72:$G$369,6,0)</f>
        <v>2</v>
      </c>
    </row>
    <row r="19" spans="1:7" ht="18" x14ac:dyDescent="0.25">
      <c r="A19" s="50">
        <v>321</v>
      </c>
      <c r="B19" s="51" t="s">
        <v>838</v>
      </c>
      <c r="C19" s="52" t="s">
        <v>597</v>
      </c>
      <c r="D19" s="54">
        <v>435</v>
      </c>
      <c r="E19" s="27"/>
      <c r="G19" s="13">
        <f>VLOOKUP(A19,'Factura de ventas'!$B$72:$G$369,6,0)</f>
        <v>2</v>
      </c>
    </row>
    <row r="20" spans="1:7" ht="18" x14ac:dyDescent="0.25">
      <c r="A20" s="50">
        <v>3826</v>
      </c>
      <c r="B20" s="51" t="s">
        <v>710</v>
      </c>
      <c r="C20" s="52" t="s">
        <v>596</v>
      </c>
      <c r="D20" s="54">
        <v>175</v>
      </c>
      <c r="E20" s="27"/>
      <c r="G20" s="13">
        <f>VLOOKUP(A20,'Factura de ventas'!$B$72:$G$369,6,0)</f>
        <v>2</v>
      </c>
    </row>
    <row r="21" spans="1:7" ht="18" x14ac:dyDescent="0.25">
      <c r="A21" s="50">
        <v>3829</v>
      </c>
      <c r="B21" s="51" t="s">
        <v>713</v>
      </c>
      <c r="C21" s="52" t="s">
        <v>595</v>
      </c>
      <c r="D21" s="54">
        <v>175</v>
      </c>
      <c r="E21" s="27"/>
      <c r="G21" s="13">
        <f>VLOOKUP(A21,'Factura de ventas'!$B$72:$G$369,6,0)</f>
        <v>2</v>
      </c>
    </row>
    <row r="22" spans="1:7" ht="18" x14ac:dyDescent="0.25">
      <c r="A22" s="50">
        <v>3828</v>
      </c>
      <c r="B22" s="51" t="s">
        <v>712</v>
      </c>
      <c r="C22" s="52" t="s">
        <v>594</v>
      </c>
      <c r="D22" s="54">
        <v>175</v>
      </c>
      <c r="E22" s="27"/>
      <c r="G22" s="13">
        <f>VLOOKUP(A22,'Factura de ventas'!$B$72:$G$369,6,0)</f>
        <v>2</v>
      </c>
    </row>
    <row r="23" spans="1:7" ht="18" x14ac:dyDescent="0.25">
      <c r="A23" s="50">
        <v>3827</v>
      </c>
      <c r="B23" s="51" t="s">
        <v>711</v>
      </c>
      <c r="C23" s="52" t="s">
        <v>597</v>
      </c>
      <c r="D23" s="54">
        <v>175</v>
      </c>
      <c r="E23" s="27"/>
      <c r="G23" s="13">
        <f>VLOOKUP(A23,'Factura de ventas'!$B$72:$G$369,6,0)</f>
        <v>2</v>
      </c>
    </row>
    <row r="24" spans="1:7" ht="18" x14ac:dyDescent="0.25">
      <c r="A24" s="50">
        <v>3830</v>
      </c>
      <c r="B24" s="51" t="s">
        <v>714</v>
      </c>
      <c r="C24" s="52" t="s">
        <v>596</v>
      </c>
      <c r="D24" s="54">
        <v>210</v>
      </c>
      <c r="E24" s="27"/>
      <c r="G24" s="13">
        <f>VLOOKUP(A24,'Factura de ventas'!$B$72:$G$369,6,0)</f>
        <v>2</v>
      </c>
    </row>
    <row r="25" spans="1:7" ht="18" x14ac:dyDescent="0.25">
      <c r="A25" s="50">
        <v>3833</v>
      </c>
      <c r="B25" s="51" t="s">
        <v>717</v>
      </c>
      <c r="C25" s="52" t="s">
        <v>595</v>
      </c>
      <c r="D25" s="54">
        <v>210</v>
      </c>
      <c r="E25" s="27"/>
      <c r="G25" s="13">
        <f>VLOOKUP(A25,'Factura de ventas'!$B$72:$G$369,6,0)</f>
        <v>2</v>
      </c>
    </row>
    <row r="26" spans="1:7" ht="18" x14ac:dyDescent="0.25">
      <c r="A26" s="50">
        <v>3832</v>
      </c>
      <c r="B26" s="51" t="s">
        <v>716</v>
      </c>
      <c r="C26" s="52" t="s">
        <v>594</v>
      </c>
      <c r="D26" s="54">
        <v>210</v>
      </c>
      <c r="E26" s="27"/>
      <c r="G26" s="13">
        <f>VLOOKUP(A26,'Factura de ventas'!$B$72:$G$369,6,0)</f>
        <v>2</v>
      </c>
    </row>
    <row r="27" spans="1:7" ht="18" x14ac:dyDescent="0.25">
      <c r="A27" s="50">
        <v>3831</v>
      </c>
      <c r="B27" s="51" t="s">
        <v>715</v>
      </c>
      <c r="C27" s="52" t="s">
        <v>597</v>
      </c>
      <c r="D27" s="54">
        <v>210</v>
      </c>
      <c r="E27" s="27"/>
      <c r="G27" s="13">
        <f>VLOOKUP(A27,'Factura de ventas'!$B$72:$G$369,6,0)</f>
        <v>2</v>
      </c>
    </row>
    <row r="28" spans="1:7" ht="18" x14ac:dyDescent="0.25">
      <c r="A28" s="50">
        <v>322</v>
      </c>
      <c r="B28" s="51" t="s">
        <v>738</v>
      </c>
      <c r="C28" s="52" t="s">
        <v>596</v>
      </c>
      <c r="D28" s="54">
        <v>140</v>
      </c>
      <c r="E28" s="27"/>
      <c r="G28" s="13">
        <f>VLOOKUP(A28,'Factura de ventas'!$B$72:$G$369,6,0)</f>
        <v>2</v>
      </c>
    </row>
    <row r="29" spans="1:7" ht="18" x14ac:dyDescent="0.25">
      <c r="A29" s="50">
        <v>323</v>
      </c>
      <c r="B29" s="51" t="s">
        <v>731</v>
      </c>
      <c r="C29" s="52" t="s">
        <v>594</v>
      </c>
      <c r="D29" s="54">
        <v>140</v>
      </c>
      <c r="E29" s="27"/>
      <c r="G29" s="13">
        <f>VLOOKUP(A29,'Factura de ventas'!$B$72:$G$369,6,0)</f>
        <v>2</v>
      </c>
    </row>
    <row r="30" spans="1:7" ht="18" x14ac:dyDescent="0.25">
      <c r="A30" s="50">
        <v>324</v>
      </c>
      <c r="B30" s="51" t="s">
        <v>737</v>
      </c>
      <c r="C30" s="52" t="s">
        <v>597</v>
      </c>
      <c r="D30" s="54">
        <v>140</v>
      </c>
      <c r="E30" s="27"/>
      <c r="G30" s="13">
        <f>VLOOKUP(A30,'Factura de ventas'!$B$72:$G$369,6,0)</f>
        <v>2</v>
      </c>
    </row>
    <row r="31" spans="1:7" ht="18" x14ac:dyDescent="0.25">
      <c r="A31" s="50">
        <v>325</v>
      </c>
      <c r="B31" s="51" t="s">
        <v>732</v>
      </c>
      <c r="C31" s="52" t="s">
        <v>559</v>
      </c>
      <c r="D31" s="54">
        <v>160</v>
      </c>
      <c r="E31" s="27"/>
      <c r="G31" s="13">
        <f>VLOOKUP(A31,'Factura de ventas'!$B$72:$G$369,6,0)</f>
        <v>2</v>
      </c>
    </row>
    <row r="32" spans="1:7" ht="18" x14ac:dyDescent="0.25">
      <c r="A32" s="50">
        <v>326</v>
      </c>
      <c r="B32" s="51" t="s">
        <v>733</v>
      </c>
      <c r="C32" s="52" t="s">
        <v>560</v>
      </c>
      <c r="D32" s="54">
        <v>160</v>
      </c>
      <c r="E32" s="27"/>
      <c r="G32" s="13">
        <f>VLOOKUP(A32,'Factura de ventas'!$B$72:$G$369,6,0)</f>
        <v>2</v>
      </c>
    </row>
    <row r="33" spans="1:7" ht="18" x14ac:dyDescent="0.25">
      <c r="A33" s="50">
        <v>327</v>
      </c>
      <c r="B33" s="51" t="s">
        <v>736</v>
      </c>
      <c r="C33" s="52" t="s">
        <v>561</v>
      </c>
      <c r="D33" s="54">
        <v>160</v>
      </c>
      <c r="E33" s="27"/>
      <c r="G33" s="13">
        <f>VLOOKUP(A33,'Factura de ventas'!$B$72:$G$369,6,0)</f>
        <v>2</v>
      </c>
    </row>
    <row r="34" spans="1:7" ht="18" x14ac:dyDescent="0.25">
      <c r="A34" s="50">
        <v>331</v>
      </c>
      <c r="B34" s="51" t="s">
        <v>734</v>
      </c>
      <c r="C34" s="52" t="s">
        <v>558</v>
      </c>
      <c r="D34" s="54">
        <v>150</v>
      </c>
      <c r="E34" s="27"/>
      <c r="G34" s="13">
        <f>VLOOKUP(A34,'Factura de ventas'!$B$72:$G$369,6,0)</f>
        <v>1</v>
      </c>
    </row>
    <row r="35" spans="1:7" ht="18" x14ac:dyDescent="0.25">
      <c r="A35" s="50">
        <v>332</v>
      </c>
      <c r="B35" s="51" t="s">
        <v>735</v>
      </c>
      <c r="C35" s="52" t="s">
        <v>558</v>
      </c>
      <c r="D35" s="54">
        <v>150</v>
      </c>
      <c r="E35" s="27"/>
      <c r="G35" s="13">
        <f>VLOOKUP(A35,'Factura de ventas'!$B$72:$G$369,6,0)</f>
        <v>1</v>
      </c>
    </row>
    <row r="36" spans="1:7" ht="18" x14ac:dyDescent="0.25">
      <c r="A36" s="50">
        <v>6959</v>
      </c>
      <c r="B36" s="51" t="s">
        <v>920</v>
      </c>
      <c r="C36" s="52" t="s">
        <v>558</v>
      </c>
      <c r="D36" s="54">
        <v>25</v>
      </c>
      <c r="E36" s="27"/>
      <c r="G36" s="13" t="e">
        <f>VLOOKUP(A36,'Factura de ventas'!$B$72:$G$369,6,0)</f>
        <v>#N/A</v>
      </c>
    </row>
    <row r="37" spans="1:7" ht="18" x14ac:dyDescent="0.25">
      <c r="A37" s="51">
        <v>6945</v>
      </c>
      <c r="B37" s="52" t="s">
        <v>912</v>
      </c>
      <c r="C37" s="52" t="s">
        <v>558</v>
      </c>
      <c r="D37" s="54">
        <v>45</v>
      </c>
      <c r="E37" s="27"/>
      <c r="G37" s="13">
        <f>VLOOKUP(A37,'Factura de ventas'!$B$72:$G$369,6,0)</f>
        <v>1</v>
      </c>
    </row>
    <row r="38" spans="1:7" ht="18" x14ac:dyDescent="0.25">
      <c r="A38" s="50">
        <v>6199</v>
      </c>
      <c r="B38" s="51" t="s">
        <v>608</v>
      </c>
      <c r="C38" s="52" t="s">
        <v>558</v>
      </c>
      <c r="D38" s="54">
        <v>55</v>
      </c>
      <c r="E38" s="27"/>
      <c r="G38" s="13">
        <f>VLOOKUP(A38,'Factura de ventas'!$B$72:$G$369,6,0)</f>
        <v>1</v>
      </c>
    </row>
    <row r="39" spans="1:7" ht="18" x14ac:dyDescent="0.25">
      <c r="A39" s="50">
        <v>5407</v>
      </c>
      <c r="B39" s="51" t="s">
        <v>726</v>
      </c>
      <c r="C39" s="52" t="s">
        <v>558</v>
      </c>
      <c r="D39" s="54">
        <v>35</v>
      </c>
      <c r="E39" s="27"/>
      <c r="G39" s="13">
        <f>VLOOKUP(A39,'Factura de ventas'!$B$72:$G$369,6,0)</f>
        <v>1</v>
      </c>
    </row>
    <row r="40" spans="1:7" ht="18" x14ac:dyDescent="0.25">
      <c r="A40" s="50">
        <v>449</v>
      </c>
      <c r="B40" s="51" t="s">
        <v>739</v>
      </c>
      <c r="C40" s="52" t="s">
        <v>558</v>
      </c>
      <c r="D40" s="54">
        <v>900</v>
      </c>
      <c r="E40" s="27"/>
      <c r="G40" s="13">
        <f>VLOOKUP(A40,'Factura de ventas'!$B$72:$G$369,6,0)</f>
        <v>1</v>
      </c>
    </row>
    <row r="41" spans="1:7" ht="18" x14ac:dyDescent="0.25">
      <c r="A41" s="50">
        <v>450</v>
      </c>
      <c r="B41" s="51" t="s">
        <v>740</v>
      </c>
      <c r="C41" s="52" t="s">
        <v>558</v>
      </c>
      <c r="D41" s="54">
        <v>900</v>
      </c>
      <c r="E41" s="27"/>
      <c r="G41" s="13">
        <f>VLOOKUP(A41,'Factura de ventas'!$B$72:$G$369,6,0)</f>
        <v>1</v>
      </c>
    </row>
    <row r="42" spans="1:7" ht="18" x14ac:dyDescent="0.25">
      <c r="A42" s="50">
        <v>451</v>
      </c>
      <c r="B42" s="51" t="s">
        <v>741</v>
      </c>
      <c r="C42" s="52" t="s">
        <v>558</v>
      </c>
      <c r="D42" s="54">
        <v>85</v>
      </c>
      <c r="E42" s="27"/>
      <c r="G42" s="13">
        <f>VLOOKUP(A42,'Factura de ventas'!$B$72:$G$369,6,0)</f>
        <v>2</v>
      </c>
    </row>
    <row r="43" spans="1:7" ht="18" x14ac:dyDescent="0.25">
      <c r="A43" s="50">
        <v>498</v>
      </c>
      <c r="B43" s="51" t="s">
        <v>742</v>
      </c>
      <c r="C43" s="52" t="s">
        <v>558</v>
      </c>
      <c r="D43" s="54">
        <v>85</v>
      </c>
      <c r="E43" s="27"/>
      <c r="G43" s="13">
        <f>VLOOKUP(A43,'Factura de ventas'!$B$72:$G$369,6,0)</f>
        <v>1</v>
      </c>
    </row>
    <row r="44" spans="1:7" ht="18" x14ac:dyDescent="0.25">
      <c r="A44" s="50">
        <v>505</v>
      </c>
      <c r="B44" s="51" t="s">
        <v>846</v>
      </c>
      <c r="C44" s="52" t="s">
        <v>562</v>
      </c>
      <c r="D44" s="54">
        <v>295</v>
      </c>
      <c r="E44" s="27"/>
      <c r="G44" s="13">
        <f>VLOOKUP(A44,'Factura de ventas'!$B$72:$G$369,6,0)</f>
        <v>2</v>
      </c>
    </row>
    <row r="45" spans="1:7" ht="18" x14ac:dyDescent="0.25">
      <c r="A45" s="50">
        <v>506</v>
      </c>
      <c r="B45" s="51" t="s">
        <v>847</v>
      </c>
      <c r="C45" s="52" t="s">
        <v>563</v>
      </c>
      <c r="D45" s="54">
        <v>295</v>
      </c>
      <c r="E45" s="27"/>
      <c r="G45" s="13">
        <f>VLOOKUP(A45,'Factura de ventas'!$B$72:$G$369,6,0)</f>
        <v>2</v>
      </c>
    </row>
    <row r="46" spans="1:7" ht="18" x14ac:dyDescent="0.25">
      <c r="A46" s="50">
        <v>507</v>
      </c>
      <c r="B46" s="51" t="s">
        <v>848</v>
      </c>
      <c r="C46" s="52" t="s">
        <v>564</v>
      </c>
      <c r="D46" s="54">
        <v>295</v>
      </c>
      <c r="E46" s="27"/>
      <c r="G46" s="13">
        <f>VLOOKUP(A55,'Factura de ventas'!$B$72:$G$369,6,0)</f>
        <v>2</v>
      </c>
    </row>
    <row r="47" spans="1:7" ht="18" x14ac:dyDescent="0.25">
      <c r="A47" s="50">
        <v>508</v>
      </c>
      <c r="B47" s="51" t="s">
        <v>849</v>
      </c>
      <c r="C47" s="52" t="s">
        <v>565</v>
      </c>
      <c r="D47" s="54">
        <v>295</v>
      </c>
      <c r="E47" s="27"/>
      <c r="G47" s="13">
        <f>VLOOKUP(A56,'Factura de ventas'!$B$72:$G$369,6,0)</f>
        <v>2</v>
      </c>
    </row>
    <row r="48" spans="1:7" ht="18" x14ac:dyDescent="0.25">
      <c r="A48" s="50">
        <v>509</v>
      </c>
      <c r="B48" s="51" t="s">
        <v>850</v>
      </c>
      <c r="C48" s="52" t="s">
        <v>566</v>
      </c>
      <c r="D48" s="54">
        <v>295</v>
      </c>
      <c r="E48" s="27"/>
      <c r="G48" s="13">
        <f>VLOOKUP(A57,'Factura de ventas'!$B$72:$G$369,6,0)</f>
        <v>2</v>
      </c>
    </row>
    <row r="49" spans="1:7" ht="18" x14ac:dyDescent="0.25">
      <c r="A49" s="50">
        <v>510</v>
      </c>
      <c r="B49" s="51" t="s">
        <v>851</v>
      </c>
      <c r="C49" s="52" t="s">
        <v>567</v>
      </c>
      <c r="D49" s="54">
        <v>295</v>
      </c>
      <c r="E49" s="27"/>
      <c r="G49" s="13">
        <f>VLOOKUP(A58,'Factura de ventas'!$B$72:$G$369,6,0)</f>
        <v>2</v>
      </c>
    </row>
    <row r="50" spans="1:7" ht="18" x14ac:dyDescent="0.25">
      <c r="A50" s="50">
        <v>511</v>
      </c>
      <c r="B50" s="51" t="s">
        <v>852</v>
      </c>
      <c r="C50" s="52" t="s">
        <v>568</v>
      </c>
      <c r="D50" s="54">
        <v>295</v>
      </c>
      <c r="E50" s="27"/>
      <c r="G50" s="13">
        <f>VLOOKUP(A59,'Factura de ventas'!$B$72:$G$369,6,0)</f>
        <v>2</v>
      </c>
    </row>
    <row r="51" spans="1:7" ht="18" x14ac:dyDescent="0.25">
      <c r="A51" s="50">
        <v>3820</v>
      </c>
      <c r="B51" s="51" t="s">
        <v>839</v>
      </c>
      <c r="C51" s="52" t="s">
        <v>569</v>
      </c>
      <c r="D51" s="54">
        <v>295</v>
      </c>
      <c r="E51" s="27"/>
      <c r="G51" s="13">
        <f>VLOOKUP(A60,'Factura de ventas'!$B$72:$G$369,6,0)</f>
        <v>2</v>
      </c>
    </row>
    <row r="52" spans="1:7" ht="18" x14ac:dyDescent="0.25">
      <c r="A52" s="50">
        <v>519</v>
      </c>
      <c r="B52" s="51" t="s">
        <v>743</v>
      </c>
      <c r="C52" s="52" t="s">
        <v>568</v>
      </c>
      <c r="D52" s="54">
        <v>230</v>
      </c>
      <c r="E52" s="27"/>
      <c r="G52" s="13">
        <f>VLOOKUP(A61,'Factura de ventas'!$B$72:$G$369,6,0)</f>
        <v>2</v>
      </c>
    </row>
    <row r="53" spans="1:7" ht="18" x14ac:dyDescent="0.25">
      <c r="A53" s="50">
        <v>520</v>
      </c>
      <c r="B53" s="51" t="s">
        <v>744</v>
      </c>
      <c r="C53" s="52" t="s">
        <v>569</v>
      </c>
      <c r="D53" s="54">
        <v>230</v>
      </c>
      <c r="E53" s="27"/>
      <c r="G53" s="13">
        <f>VLOOKUP(A62,'Factura de ventas'!$B$72:$G$369,6,0)</f>
        <v>2</v>
      </c>
    </row>
    <row r="54" spans="1:7" ht="18" x14ac:dyDescent="0.25">
      <c r="A54" s="50">
        <v>521</v>
      </c>
      <c r="B54" s="51" t="s">
        <v>745</v>
      </c>
      <c r="C54" s="52" t="s">
        <v>571</v>
      </c>
      <c r="D54" s="54">
        <v>230</v>
      </c>
      <c r="E54" s="27"/>
      <c r="G54" s="13">
        <f>VLOOKUP(A63,'Factura de ventas'!$B$72:$G$369,6,0)</f>
        <v>2</v>
      </c>
    </row>
    <row r="55" spans="1:7" ht="18" x14ac:dyDescent="0.25">
      <c r="A55" s="50">
        <v>522</v>
      </c>
      <c r="B55" s="51" t="s">
        <v>853</v>
      </c>
      <c r="C55" s="52" t="s">
        <v>572</v>
      </c>
      <c r="D55" s="54">
        <v>300</v>
      </c>
      <c r="E55" s="54"/>
      <c r="G55" s="13">
        <f>VLOOKUP(A64,'Factura de ventas'!$B$72:$G$369,6,0)</f>
        <v>2</v>
      </c>
    </row>
    <row r="56" spans="1:7" ht="18" x14ac:dyDescent="0.25">
      <c r="A56" s="50">
        <v>523</v>
      </c>
      <c r="B56" s="51" t="s">
        <v>854</v>
      </c>
      <c r="C56" s="52" t="s">
        <v>573</v>
      </c>
      <c r="D56" s="54">
        <v>300</v>
      </c>
      <c r="E56" s="27"/>
      <c r="G56" s="13">
        <f>VLOOKUP(A65,'Factura de ventas'!$B$72:$G$369,6,0)</f>
        <v>2</v>
      </c>
    </row>
    <row r="57" spans="1:7" ht="18" x14ac:dyDescent="0.25">
      <c r="A57" s="50">
        <v>524</v>
      </c>
      <c r="B57" s="51" t="s">
        <v>855</v>
      </c>
      <c r="C57" s="52" t="s">
        <v>574</v>
      </c>
      <c r="D57" s="54">
        <v>300</v>
      </c>
      <c r="E57" s="27"/>
      <c r="G57" s="13">
        <f>VLOOKUP(A66,'Factura de ventas'!$B$72:$G$369,6,0)</f>
        <v>2</v>
      </c>
    </row>
    <row r="58" spans="1:7" ht="18" x14ac:dyDescent="0.25">
      <c r="A58" s="50">
        <v>525</v>
      </c>
      <c r="B58" s="51" t="s">
        <v>856</v>
      </c>
      <c r="C58" s="52" t="s">
        <v>575</v>
      </c>
      <c r="D58" s="54">
        <v>230</v>
      </c>
      <c r="E58" s="27"/>
      <c r="G58" s="13">
        <f>VLOOKUP(A67,'Factura de ventas'!$B$72:$G$369,6,0)</f>
        <v>2</v>
      </c>
    </row>
    <row r="59" spans="1:7" ht="18" x14ac:dyDescent="0.25">
      <c r="A59" s="50">
        <v>5422</v>
      </c>
      <c r="B59" s="51" t="s">
        <v>858</v>
      </c>
      <c r="C59" s="52" t="s">
        <v>558</v>
      </c>
      <c r="D59" s="54">
        <v>300</v>
      </c>
      <c r="E59" s="27"/>
      <c r="G59" s="13">
        <f>VLOOKUP(A68,'Factura de ventas'!$B$72:$G$369,6,0)</f>
        <v>2</v>
      </c>
    </row>
    <row r="60" spans="1:7" ht="18" x14ac:dyDescent="0.25">
      <c r="A60" s="50">
        <v>5423</v>
      </c>
      <c r="B60" s="51" t="s">
        <v>859</v>
      </c>
      <c r="C60" s="52" t="s">
        <v>558</v>
      </c>
      <c r="D60" s="54">
        <v>300</v>
      </c>
      <c r="E60" s="27"/>
      <c r="G60" s="13">
        <f>VLOOKUP(A69,'Factura de ventas'!$B$72:$G$369,6,0)</f>
        <v>2</v>
      </c>
    </row>
    <row r="61" spans="1:7" ht="18" x14ac:dyDescent="0.25">
      <c r="A61" s="50">
        <v>5424</v>
      </c>
      <c r="B61" s="51" t="s">
        <v>860</v>
      </c>
      <c r="C61" s="52" t="s">
        <v>558</v>
      </c>
      <c r="D61" s="54">
        <v>300</v>
      </c>
      <c r="E61" s="27"/>
      <c r="G61" s="13">
        <f>VLOOKUP(A70,'Factura de ventas'!$B$72:$G$369,6,0)</f>
        <v>2</v>
      </c>
    </row>
    <row r="62" spans="1:7" ht="18" x14ac:dyDescent="0.25">
      <c r="A62" s="50">
        <v>5425</v>
      </c>
      <c r="B62" s="51" t="s">
        <v>861</v>
      </c>
      <c r="C62" s="52" t="s">
        <v>558</v>
      </c>
      <c r="D62" s="54">
        <v>300</v>
      </c>
      <c r="E62" s="27"/>
      <c r="G62" s="13">
        <f>VLOOKUP(A71,'Factura de ventas'!$B$72:$G$369,6,0)</f>
        <v>2</v>
      </c>
    </row>
    <row r="63" spans="1:7" ht="18" x14ac:dyDescent="0.25">
      <c r="A63" s="50">
        <v>5426</v>
      </c>
      <c r="B63" s="51" t="s">
        <v>862</v>
      </c>
      <c r="C63" s="52" t="s">
        <v>558</v>
      </c>
      <c r="D63" s="54">
        <v>300</v>
      </c>
      <c r="E63" s="27"/>
      <c r="G63" s="13">
        <f>VLOOKUP(A72,'Factura de ventas'!$B$72:$G$369,6,0)</f>
        <v>2</v>
      </c>
    </row>
    <row r="64" spans="1:7" ht="18" x14ac:dyDescent="0.25">
      <c r="A64" s="50">
        <v>5427</v>
      </c>
      <c r="B64" s="51" t="s">
        <v>863</v>
      </c>
      <c r="C64" s="52" t="s">
        <v>558</v>
      </c>
      <c r="D64" s="54">
        <v>300</v>
      </c>
      <c r="E64" s="27"/>
      <c r="G64" s="13">
        <f>VLOOKUP(A73,'Factura de ventas'!$B$72:$G$369,6,0)</f>
        <v>2</v>
      </c>
    </row>
    <row r="65" spans="1:7" ht="18" x14ac:dyDescent="0.25">
      <c r="A65" s="50">
        <v>5428</v>
      </c>
      <c r="B65" s="51" t="s">
        <v>864</v>
      </c>
      <c r="C65" s="52" t="s">
        <v>558</v>
      </c>
      <c r="D65" s="54">
        <v>300</v>
      </c>
      <c r="E65" s="27"/>
      <c r="G65" s="13">
        <f>VLOOKUP(A74,'Factura de ventas'!$B$72:$G$369,6,0)</f>
        <v>2</v>
      </c>
    </row>
    <row r="66" spans="1:7" ht="18" x14ac:dyDescent="0.25">
      <c r="A66" s="50">
        <v>5429</v>
      </c>
      <c r="B66" s="51" t="s">
        <v>865</v>
      </c>
      <c r="C66" s="52" t="s">
        <v>558</v>
      </c>
      <c r="D66" s="54">
        <v>300</v>
      </c>
      <c r="E66" s="27"/>
      <c r="G66" s="13">
        <f>VLOOKUP(A75,'Factura de ventas'!$B$72:$G$369,6,0)</f>
        <v>2</v>
      </c>
    </row>
    <row r="67" spans="1:7" ht="18" x14ac:dyDescent="0.25">
      <c r="A67" s="50">
        <v>5430</v>
      </c>
      <c r="B67" s="51" t="s">
        <v>866</v>
      </c>
      <c r="C67" s="52" t="s">
        <v>558</v>
      </c>
      <c r="D67" s="54">
        <v>300</v>
      </c>
      <c r="E67" s="27"/>
      <c r="G67" s="13">
        <f>VLOOKUP(A76,'Factura de ventas'!$B$72:$G$369,6,0)</f>
        <v>2</v>
      </c>
    </row>
    <row r="68" spans="1:7" ht="18" x14ac:dyDescent="0.25">
      <c r="A68" s="50">
        <v>5431</v>
      </c>
      <c r="B68" s="51" t="s">
        <v>867</v>
      </c>
      <c r="C68" s="52" t="s">
        <v>558</v>
      </c>
      <c r="D68" s="54">
        <v>300</v>
      </c>
      <c r="E68" s="27"/>
      <c r="G68" s="13">
        <f>VLOOKUP(A77,'Factura de ventas'!$B$72:$G$369,6,0)</f>
        <v>2</v>
      </c>
    </row>
    <row r="69" spans="1:7" ht="18" x14ac:dyDescent="0.25">
      <c r="A69" s="50">
        <v>5432</v>
      </c>
      <c r="B69" s="51" t="s">
        <v>868</v>
      </c>
      <c r="C69" s="52" t="s">
        <v>558</v>
      </c>
      <c r="D69" s="54">
        <v>300</v>
      </c>
      <c r="E69" s="27"/>
      <c r="G69" s="13">
        <f>VLOOKUP(A78,'Factura de ventas'!$B$72:$G$369,6,0)</f>
        <v>2</v>
      </c>
    </row>
    <row r="70" spans="1:7" ht="18" x14ac:dyDescent="0.25">
      <c r="A70" s="50">
        <v>688</v>
      </c>
      <c r="B70" s="51" t="s">
        <v>747</v>
      </c>
      <c r="C70" s="52" t="s">
        <v>558</v>
      </c>
      <c r="D70" s="54">
        <v>1800</v>
      </c>
      <c r="E70" s="27"/>
      <c r="G70" s="13">
        <f>VLOOKUP(A79,'Factura de ventas'!$B$72:$G$369,6,0)</f>
        <v>2</v>
      </c>
    </row>
    <row r="71" spans="1:7" ht="18" x14ac:dyDescent="0.25">
      <c r="A71" s="50">
        <v>808</v>
      </c>
      <c r="B71" s="51" t="s">
        <v>748</v>
      </c>
      <c r="C71" s="52" t="s">
        <v>558</v>
      </c>
      <c r="D71" s="54">
        <v>125</v>
      </c>
      <c r="E71" s="27"/>
      <c r="G71" s="13">
        <f>VLOOKUP(A80,'Factura de ventas'!$B$72:$G$369,6,0)</f>
        <v>2</v>
      </c>
    </row>
    <row r="72" spans="1:7" ht="18" x14ac:dyDescent="0.25">
      <c r="A72" s="50">
        <v>809</v>
      </c>
      <c r="B72" s="51" t="s">
        <v>749</v>
      </c>
      <c r="C72" s="52" t="s">
        <v>596</v>
      </c>
      <c r="D72" s="54">
        <v>350</v>
      </c>
      <c r="E72" s="27"/>
      <c r="G72" s="13">
        <f>VLOOKUP(A81,'Factura de ventas'!$B$72:$G$369,6,0)</f>
        <v>2</v>
      </c>
    </row>
    <row r="73" spans="1:7" ht="18" x14ac:dyDescent="0.25">
      <c r="A73" s="50">
        <v>810</v>
      </c>
      <c r="B73" s="51" t="s">
        <v>750</v>
      </c>
      <c r="C73" s="52" t="s">
        <v>595</v>
      </c>
      <c r="D73" s="54">
        <v>350</v>
      </c>
      <c r="E73" s="27"/>
      <c r="G73" s="13">
        <f>VLOOKUP(A82,'Factura de ventas'!$B$72:$G$369,6,0)</f>
        <v>2</v>
      </c>
    </row>
    <row r="74" spans="1:7" ht="18" x14ac:dyDescent="0.25">
      <c r="A74" s="50">
        <v>811</v>
      </c>
      <c r="B74" s="51" t="s">
        <v>751</v>
      </c>
      <c r="C74" s="52" t="s">
        <v>594</v>
      </c>
      <c r="D74" s="54">
        <v>350</v>
      </c>
      <c r="E74" s="27"/>
      <c r="G74" s="13">
        <f>VLOOKUP(A83,'Factura de ventas'!$B$72:$G$369,6,0)</f>
        <v>2</v>
      </c>
    </row>
    <row r="75" spans="1:7" ht="18" x14ac:dyDescent="0.25">
      <c r="A75" s="50">
        <v>812</v>
      </c>
      <c r="B75" s="51" t="s">
        <v>752</v>
      </c>
      <c r="C75" s="52" t="s">
        <v>597</v>
      </c>
      <c r="D75" s="54">
        <v>350</v>
      </c>
      <c r="E75" s="27"/>
      <c r="G75" s="13">
        <f>VLOOKUP(A84,'Factura de ventas'!$B$72:$G$369,6,0)</f>
        <v>2</v>
      </c>
    </row>
    <row r="76" spans="1:7" ht="18" x14ac:dyDescent="0.25">
      <c r="A76" s="50">
        <v>820</v>
      </c>
      <c r="B76" s="51" t="s">
        <v>753</v>
      </c>
      <c r="C76" s="52" t="s">
        <v>596</v>
      </c>
      <c r="D76" s="54">
        <v>300</v>
      </c>
      <c r="E76" s="27"/>
      <c r="G76" s="13">
        <f>VLOOKUP(A85,'Factura de ventas'!$B$72:$G$369,6,0)</f>
        <v>2</v>
      </c>
    </row>
    <row r="77" spans="1:7" ht="18" x14ac:dyDescent="0.25">
      <c r="A77" s="50">
        <v>821</v>
      </c>
      <c r="B77" s="51" t="s">
        <v>754</v>
      </c>
      <c r="C77" s="52" t="s">
        <v>595</v>
      </c>
      <c r="D77" s="54">
        <v>300</v>
      </c>
      <c r="E77" s="27"/>
      <c r="G77" s="13">
        <f>VLOOKUP(A86,'Factura de ventas'!$B$72:$G$369,6,0)</f>
        <v>2</v>
      </c>
    </row>
    <row r="78" spans="1:7" ht="18" x14ac:dyDescent="0.25">
      <c r="A78" s="50">
        <v>822</v>
      </c>
      <c r="B78" s="51" t="s">
        <v>755</v>
      </c>
      <c r="C78" s="52" t="s">
        <v>594</v>
      </c>
      <c r="D78" s="54">
        <v>300</v>
      </c>
      <c r="E78" s="27"/>
      <c r="G78" s="13">
        <f>VLOOKUP(A87,'Factura de ventas'!$B$72:$G$369,6,0)</f>
        <v>2</v>
      </c>
    </row>
    <row r="79" spans="1:7" ht="18" x14ac:dyDescent="0.25">
      <c r="A79" s="50">
        <v>823</v>
      </c>
      <c r="B79" s="51" t="s">
        <v>756</v>
      </c>
      <c r="C79" s="52" t="s">
        <v>597</v>
      </c>
      <c r="D79" s="54">
        <v>300</v>
      </c>
      <c r="E79" s="27"/>
      <c r="G79" s="13">
        <f>VLOOKUP(A88,'Factura de ventas'!$B$72:$G$369,6,0)</f>
        <v>2</v>
      </c>
    </row>
    <row r="80" spans="1:7" ht="18" x14ac:dyDescent="0.25">
      <c r="A80" s="50">
        <v>5435</v>
      </c>
      <c r="B80" s="51" t="s">
        <v>870</v>
      </c>
      <c r="C80" s="52" t="s">
        <v>558</v>
      </c>
      <c r="D80" s="54">
        <v>420</v>
      </c>
      <c r="E80" s="27"/>
      <c r="G80" s="13">
        <f>VLOOKUP(A89,'Factura de ventas'!$B$72:$G$369,6,0)</f>
        <v>2</v>
      </c>
    </row>
    <row r="81" spans="1:7" ht="18" x14ac:dyDescent="0.25">
      <c r="A81" s="50">
        <v>5434</v>
      </c>
      <c r="B81" s="51" t="s">
        <v>869</v>
      </c>
      <c r="C81" s="52" t="s">
        <v>558</v>
      </c>
      <c r="D81" s="54">
        <v>420</v>
      </c>
      <c r="E81" s="27"/>
      <c r="G81" s="13">
        <f>VLOOKUP(A90,'Factura de ventas'!$B$72:$G$369,6,0)</f>
        <v>2</v>
      </c>
    </row>
    <row r="82" spans="1:7" ht="18" x14ac:dyDescent="0.25">
      <c r="A82" s="50">
        <v>5438</v>
      </c>
      <c r="B82" s="51" t="s">
        <v>873</v>
      </c>
      <c r="C82" s="52" t="s">
        <v>558</v>
      </c>
      <c r="D82" s="54">
        <v>420</v>
      </c>
      <c r="E82" s="27"/>
      <c r="G82" s="13">
        <f>VLOOKUP(A91,'Factura de ventas'!$B$72:$G$369,6,0)</f>
        <v>2</v>
      </c>
    </row>
    <row r="83" spans="1:7" ht="18" x14ac:dyDescent="0.25">
      <c r="A83" s="50">
        <v>5437</v>
      </c>
      <c r="B83" s="51" t="s">
        <v>872</v>
      </c>
      <c r="C83" s="52" t="s">
        <v>558</v>
      </c>
      <c r="D83" s="54">
        <v>420</v>
      </c>
      <c r="E83" s="27"/>
      <c r="G83" s="13">
        <f>VLOOKUP(A92,'Factura de ventas'!$B$72:$G$369,6,0)</f>
        <v>2</v>
      </c>
    </row>
    <row r="84" spans="1:7" ht="18" x14ac:dyDescent="0.25">
      <c r="A84" s="50">
        <v>5436</v>
      </c>
      <c r="B84" s="51" t="s">
        <v>871</v>
      </c>
      <c r="C84" s="52" t="s">
        <v>558</v>
      </c>
      <c r="D84" s="54">
        <v>420</v>
      </c>
      <c r="E84" s="27"/>
      <c r="G84" s="13">
        <f>VLOOKUP(A93,'Factura de ventas'!$B$72:$G$369,6,0)</f>
        <v>2</v>
      </c>
    </row>
    <row r="85" spans="1:7" ht="18" x14ac:dyDescent="0.25">
      <c r="A85" s="50">
        <v>824</v>
      </c>
      <c r="B85" s="51" t="s">
        <v>757</v>
      </c>
      <c r="C85" s="52" t="s">
        <v>558</v>
      </c>
      <c r="D85" s="54">
        <v>125</v>
      </c>
      <c r="E85" s="27"/>
      <c r="G85" s="13">
        <f>VLOOKUP(A94,'Factura de ventas'!$B$72:$G$369,6,0)</f>
        <v>2</v>
      </c>
    </row>
    <row r="86" spans="1:7" ht="18" x14ac:dyDescent="0.25">
      <c r="A86" s="50">
        <v>825</v>
      </c>
      <c r="B86" s="51" t="s">
        <v>758</v>
      </c>
      <c r="C86" s="52" t="s">
        <v>596</v>
      </c>
      <c r="D86" s="54">
        <v>1000</v>
      </c>
      <c r="E86" s="27"/>
      <c r="G86" s="13">
        <f>VLOOKUP(A95,'Factura de ventas'!$B$72:$G$369,6,0)</f>
        <v>2</v>
      </c>
    </row>
    <row r="87" spans="1:7" ht="18" x14ac:dyDescent="0.25">
      <c r="A87" s="50">
        <v>826</v>
      </c>
      <c r="B87" s="51" t="s">
        <v>759</v>
      </c>
      <c r="C87" s="52" t="s">
        <v>576</v>
      </c>
      <c r="D87" s="54">
        <v>1000</v>
      </c>
      <c r="E87" s="27"/>
      <c r="G87" s="13">
        <f>VLOOKUP(A96,'Factura de ventas'!$B$72:$G$369,6,0)</f>
        <v>1</v>
      </c>
    </row>
    <row r="88" spans="1:7" ht="18" x14ac:dyDescent="0.25">
      <c r="A88" s="50">
        <v>827</v>
      </c>
      <c r="B88" s="51" t="s">
        <v>760</v>
      </c>
      <c r="C88" s="52" t="s">
        <v>595</v>
      </c>
      <c r="D88" s="54">
        <v>1000</v>
      </c>
      <c r="E88" s="27"/>
      <c r="G88" s="13">
        <f>VLOOKUP(A97,'Factura de ventas'!$B$72:$G$369,6,0)</f>
        <v>1</v>
      </c>
    </row>
    <row r="89" spans="1:7" ht="18" x14ac:dyDescent="0.25">
      <c r="A89" s="50">
        <v>828</v>
      </c>
      <c r="B89" s="51" t="s">
        <v>761</v>
      </c>
      <c r="C89" s="52" t="s">
        <v>594</v>
      </c>
      <c r="D89" s="54">
        <v>1000</v>
      </c>
      <c r="E89" s="27"/>
      <c r="G89" s="13" t="e">
        <f>VLOOKUP(A98,'Factura de ventas'!$B$72:$G$369,6,0)</f>
        <v>#N/A</v>
      </c>
    </row>
    <row r="90" spans="1:7" ht="18" x14ac:dyDescent="0.25">
      <c r="A90" s="50">
        <v>829</v>
      </c>
      <c r="B90" s="51" t="s">
        <v>762</v>
      </c>
      <c r="C90" s="52" t="s">
        <v>597</v>
      </c>
      <c r="D90" s="54">
        <v>1000</v>
      </c>
      <c r="E90" s="27"/>
      <c r="G90" s="13">
        <f>VLOOKUP(A99,'Factura de ventas'!$B$72:$G$369,6,0)</f>
        <v>2</v>
      </c>
    </row>
    <row r="91" spans="1:7" ht="18" x14ac:dyDescent="0.25">
      <c r="A91" s="50">
        <v>6163</v>
      </c>
      <c r="B91" s="51" t="s">
        <v>606</v>
      </c>
      <c r="C91" s="52" t="s">
        <v>586</v>
      </c>
      <c r="D91" s="54">
        <v>685</v>
      </c>
      <c r="E91" s="27"/>
      <c r="G91" s="13">
        <f>VLOOKUP(A100,'Factura de ventas'!$B$72:$G$369,6,0)</f>
        <v>1</v>
      </c>
    </row>
    <row r="92" spans="1:7" ht="18" x14ac:dyDescent="0.25">
      <c r="A92" s="50">
        <v>6164</v>
      </c>
      <c r="B92" s="51" t="s">
        <v>606</v>
      </c>
      <c r="C92" s="52" t="s">
        <v>587</v>
      </c>
      <c r="D92" s="54">
        <v>685</v>
      </c>
      <c r="E92" s="27"/>
      <c r="G92" s="13">
        <f>VLOOKUP(A101,'Factura de ventas'!$B$72:$G$369,6,0)</f>
        <v>1</v>
      </c>
    </row>
    <row r="93" spans="1:7" ht="18" x14ac:dyDescent="0.25">
      <c r="A93" s="50">
        <v>6165</v>
      </c>
      <c r="B93" s="51" t="s">
        <v>606</v>
      </c>
      <c r="C93" s="52" t="s">
        <v>588</v>
      </c>
      <c r="D93" s="54">
        <v>685</v>
      </c>
      <c r="E93" s="27"/>
      <c r="G93" s="13">
        <f>VLOOKUP(A102,'Factura de ventas'!$B$72:$G$369,6,0)</f>
        <v>1</v>
      </c>
    </row>
    <row r="94" spans="1:7" ht="18" x14ac:dyDescent="0.25">
      <c r="A94" s="50">
        <v>6166</v>
      </c>
      <c r="B94" s="51" t="s">
        <v>606</v>
      </c>
      <c r="C94" s="52" t="s">
        <v>590</v>
      </c>
      <c r="D94" s="54">
        <v>685</v>
      </c>
      <c r="E94" s="27"/>
      <c r="G94" s="13">
        <f>VLOOKUP(A103,'Factura de ventas'!$B$72:$G$369,6,0)</f>
        <v>1</v>
      </c>
    </row>
    <row r="95" spans="1:7" ht="18" x14ac:dyDescent="0.25">
      <c r="A95" s="50">
        <v>6167</v>
      </c>
      <c r="B95" s="51" t="s">
        <v>606</v>
      </c>
      <c r="C95" s="52" t="s">
        <v>589</v>
      </c>
      <c r="D95" s="54">
        <v>685</v>
      </c>
      <c r="E95" s="27"/>
      <c r="G95" s="13">
        <f>VLOOKUP(A104,'Factura de ventas'!$B$72:$G$369,6,0)</f>
        <v>1</v>
      </c>
    </row>
    <row r="96" spans="1:7" ht="18" x14ac:dyDescent="0.25">
      <c r="A96" s="50">
        <v>5404</v>
      </c>
      <c r="B96" s="51" t="s">
        <v>857</v>
      </c>
      <c r="C96" s="52" t="s">
        <v>558</v>
      </c>
      <c r="D96" s="54">
        <v>25</v>
      </c>
      <c r="E96" s="27"/>
      <c r="G96" s="13">
        <f>VLOOKUP(A105,'Factura de ventas'!$B$72:$G$369,6,0)</f>
        <v>1</v>
      </c>
    </row>
    <row r="97" spans="1:7" ht="18" x14ac:dyDescent="0.25">
      <c r="A97" s="50">
        <v>5403</v>
      </c>
      <c r="B97" s="51" t="s">
        <v>725</v>
      </c>
      <c r="C97" s="52" t="s">
        <v>558</v>
      </c>
      <c r="D97" s="54">
        <v>35</v>
      </c>
      <c r="E97" s="27"/>
      <c r="G97" s="13">
        <f>VLOOKUP(A106,'Factura de ventas'!$B$72:$G$369,6,0)</f>
        <v>1</v>
      </c>
    </row>
    <row r="98" spans="1:7" ht="18" x14ac:dyDescent="0.25">
      <c r="A98" s="50">
        <v>6960</v>
      </c>
      <c r="B98" s="51" t="s">
        <v>921</v>
      </c>
      <c r="C98" s="52" t="s">
        <v>558</v>
      </c>
      <c r="D98" s="54">
        <v>35</v>
      </c>
      <c r="E98" s="27"/>
      <c r="G98" s="13">
        <f>VLOOKUP(A107,'Factura de ventas'!$B$72:$G$369,6,0)</f>
        <v>1</v>
      </c>
    </row>
    <row r="99" spans="1:7" ht="18" x14ac:dyDescent="0.25">
      <c r="A99" s="50">
        <v>5433</v>
      </c>
      <c r="B99" s="51" t="s">
        <v>727</v>
      </c>
      <c r="C99" s="52" t="s">
        <v>558</v>
      </c>
      <c r="D99" s="54">
        <v>120</v>
      </c>
      <c r="E99" s="27"/>
      <c r="G99" s="13">
        <f>VLOOKUP(A108,'Factura de ventas'!$B$72:$G$369,6,0)</f>
        <v>1</v>
      </c>
    </row>
    <row r="100" spans="1:7" ht="18" x14ac:dyDescent="0.25">
      <c r="A100" s="50">
        <v>5716</v>
      </c>
      <c r="B100" s="51" t="s">
        <v>879</v>
      </c>
      <c r="C100" s="52" t="s">
        <v>558</v>
      </c>
      <c r="D100" s="54">
        <v>385</v>
      </c>
      <c r="E100" s="27"/>
      <c r="G100" s="13">
        <f>VLOOKUP(A109,'Factura de ventas'!$B$72:$G$369,6,0)</f>
        <v>1</v>
      </c>
    </row>
    <row r="101" spans="1:7" ht="18" x14ac:dyDescent="0.25">
      <c r="A101" s="50">
        <v>1026</v>
      </c>
      <c r="B101" s="51" t="s">
        <v>611</v>
      </c>
      <c r="C101" s="52" t="s">
        <v>558</v>
      </c>
      <c r="D101" s="54">
        <v>550</v>
      </c>
      <c r="E101" s="27"/>
      <c r="G101" s="13">
        <f>VLOOKUP(A110,'Factura de ventas'!$B$72:$G$369,6,0)</f>
        <v>1</v>
      </c>
    </row>
    <row r="102" spans="1:7" ht="18" x14ac:dyDescent="0.25">
      <c r="A102" s="50">
        <v>3779</v>
      </c>
      <c r="B102" s="51" t="s">
        <v>709</v>
      </c>
      <c r="C102" s="52" t="s">
        <v>558</v>
      </c>
      <c r="D102" s="54">
        <v>340</v>
      </c>
      <c r="E102" s="27"/>
      <c r="G102" s="13">
        <f>VLOOKUP(A111,'Factura de ventas'!$B$72:$G$369,6,0)</f>
        <v>2</v>
      </c>
    </row>
    <row r="103" spans="1:7" ht="18" x14ac:dyDescent="0.25">
      <c r="A103" s="50">
        <v>1146</v>
      </c>
      <c r="B103" s="51" t="s">
        <v>612</v>
      </c>
      <c r="C103" s="52" t="s">
        <v>558</v>
      </c>
      <c r="D103" s="54">
        <v>100</v>
      </c>
      <c r="E103" s="27"/>
      <c r="G103" s="13">
        <f>VLOOKUP(A112,'Factura de ventas'!$B$72:$G$369,6,0)</f>
        <v>2</v>
      </c>
    </row>
    <row r="104" spans="1:7" ht="18" x14ac:dyDescent="0.25">
      <c r="A104" s="50">
        <v>1147</v>
      </c>
      <c r="B104" s="51" t="s">
        <v>613</v>
      </c>
      <c r="C104" s="52" t="s">
        <v>558</v>
      </c>
      <c r="D104" s="54">
        <v>100</v>
      </c>
      <c r="E104" s="27"/>
      <c r="G104" s="13">
        <f>VLOOKUP(A113,'Factura de ventas'!$B$72:$G$369,6,0)</f>
        <v>2</v>
      </c>
    </row>
    <row r="105" spans="1:7" ht="18" x14ac:dyDescent="0.25">
      <c r="A105" s="50">
        <v>1148</v>
      </c>
      <c r="B105" s="51" t="s">
        <v>614</v>
      </c>
      <c r="C105" s="52" t="s">
        <v>558</v>
      </c>
      <c r="D105" s="54">
        <v>100</v>
      </c>
      <c r="E105" s="27"/>
      <c r="G105" s="13">
        <f>VLOOKUP(A114,'Factura de ventas'!$B$72:$G$369,6,0)</f>
        <v>2</v>
      </c>
    </row>
    <row r="106" spans="1:7" ht="18" x14ac:dyDescent="0.25">
      <c r="A106" s="50">
        <v>1149</v>
      </c>
      <c r="B106" s="51" t="s">
        <v>615</v>
      </c>
      <c r="C106" s="52" t="s">
        <v>558</v>
      </c>
      <c r="D106" s="54">
        <v>70</v>
      </c>
      <c r="E106" s="27"/>
      <c r="G106" s="13">
        <f>VLOOKUP(A115,'Factura de ventas'!$B$72:$G$369,6,0)</f>
        <v>1</v>
      </c>
    </row>
    <row r="107" spans="1:7" ht="18" x14ac:dyDescent="0.25">
      <c r="A107" s="50">
        <v>1150</v>
      </c>
      <c r="B107" s="51" t="s">
        <v>616</v>
      </c>
      <c r="C107" s="52" t="s">
        <v>558</v>
      </c>
      <c r="D107" s="54">
        <v>160</v>
      </c>
      <c r="E107" s="27"/>
      <c r="G107" s="13">
        <f>VLOOKUP(A116,'Factura de ventas'!$B$72:$G$369,6,0)</f>
        <v>2</v>
      </c>
    </row>
    <row r="108" spans="1:7" ht="18" x14ac:dyDescent="0.25">
      <c r="A108" s="50">
        <v>1151</v>
      </c>
      <c r="B108" s="51" t="s">
        <v>617</v>
      </c>
      <c r="C108" s="52" t="s">
        <v>558</v>
      </c>
      <c r="D108" s="54">
        <v>110</v>
      </c>
      <c r="E108" s="27"/>
      <c r="G108" s="13">
        <f>VLOOKUP(A117,'Factura de ventas'!$B$72:$G$369,6,0)</f>
        <v>2</v>
      </c>
    </row>
    <row r="109" spans="1:7" ht="18" x14ac:dyDescent="0.25">
      <c r="A109" s="50">
        <v>1164</v>
      </c>
      <c r="B109" s="51" t="s">
        <v>763</v>
      </c>
      <c r="C109" s="52" t="s">
        <v>558</v>
      </c>
      <c r="D109" s="54">
        <v>35</v>
      </c>
      <c r="E109" s="27"/>
      <c r="G109" s="13">
        <f>VLOOKUP(A118,'Factura de ventas'!$B$72:$G$369,6,0)</f>
        <v>2</v>
      </c>
    </row>
    <row r="110" spans="1:7" ht="18" x14ac:dyDescent="0.25">
      <c r="A110" s="51">
        <v>4958</v>
      </c>
      <c r="B110" s="52" t="s">
        <v>899</v>
      </c>
      <c r="C110" s="52" t="s">
        <v>558</v>
      </c>
      <c r="D110" s="54">
        <v>70</v>
      </c>
      <c r="E110" s="27"/>
      <c r="G110" s="13">
        <f>VLOOKUP(A119,'Factura de ventas'!$B$72:$G$369,6,0)</f>
        <v>2</v>
      </c>
    </row>
    <row r="111" spans="1:7" ht="18" x14ac:dyDescent="0.25">
      <c r="A111" s="50">
        <v>1169</v>
      </c>
      <c r="B111" s="51" t="s">
        <v>618</v>
      </c>
      <c r="C111" s="52" t="s">
        <v>558</v>
      </c>
      <c r="D111" s="54">
        <v>40</v>
      </c>
      <c r="E111" s="27"/>
      <c r="G111" s="13">
        <f>VLOOKUP(A120,'Factura de ventas'!$B$72:$G$369,6,0)</f>
        <v>2</v>
      </c>
    </row>
    <row r="112" spans="1:7" ht="18" x14ac:dyDescent="0.25">
      <c r="A112" s="50">
        <v>1170</v>
      </c>
      <c r="B112" s="51" t="s">
        <v>619</v>
      </c>
      <c r="C112" s="52" t="s">
        <v>558</v>
      </c>
      <c r="D112" s="54">
        <v>40</v>
      </c>
      <c r="E112" s="27"/>
      <c r="G112" s="13">
        <f>VLOOKUP(A121,'Factura de ventas'!$B$72:$G$369,6,0)</f>
        <v>2</v>
      </c>
    </row>
    <row r="113" spans="1:7" ht="18" x14ac:dyDescent="0.25">
      <c r="A113" s="50">
        <v>1174</v>
      </c>
      <c r="B113" s="51" t="s">
        <v>764</v>
      </c>
      <c r="C113" s="52" t="s">
        <v>558</v>
      </c>
      <c r="D113" s="54">
        <v>50</v>
      </c>
      <c r="E113" s="27"/>
      <c r="G113" s="13">
        <f>VLOOKUP(A122,'Factura de ventas'!$B$72:$G$369,6,0)</f>
        <v>2</v>
      </c>
    </row>
    <row r="114" spans="1:7" ht="18" x14ac:dyDescent="0.25">
      <c r="A114" s="50">
        <v>1175</v>
      </c>
      <c r="B114" s="51" t="s">
        <v>765</v>
      </c>
      <c r="C114" s="52" t="s">
        <v>558</v>
      </c>
      <c r="D114" s="54">
        <v>70</v>
      </c>
      <c r="E114" s="27"/>
      <c r="G114" s="13">
        <f>VLOOKUP(A123,'Factura de ventas'!$B$72:$G$369,6,0)</f>
        <v>2</v>
      </c>
    </row>
    <row r="115" spans="1:7" ht="18" x14ac:dyDescent="0.25">
      <c r="A115" s="50">
        <v>1203</v>
      </c>
      <c r="B115" s="51" t="s">
        <v>620</v>
      </c>
      <c r="C115" s="52" t="s">
        <v>558</v>
      </c>
      <c r="D115" s="54">
        <v>17</v>
      </c>
      <c r="E115" s="27"/>
      <c r="G115" s="13">
        <f>VLOOKUP(A124,'Factura de ventas'!$B$72:$G$369,6,0)</f>
        <v>2</v>
      </c>
    </row>
    <row r="116" spans="1:7" ht="18" x14ac:dyDescent="0.25">
      <c r="A116" s="50">
        <v>1375</v>
      </c>
      <c r="B116" s="51" t="s">
        <v>621</v>
      </c>
      <c r="C116" s="52" t="s">
        <v>577</v>
      </c>
      <c r="D116" s="54">
        <v>330</v>
      </c>
      <c r="E116" s="27"/>
      <c r="G116" s="13">
        <f>VLOOKUP(A125,'Factura de ventas'!$B$72:$G$369,6,0)</f>
        <v>2</v>
      </c>
    </row>
    <row r="117" spans="1:7" ht="18" x14ac:dyDescent="0.25">
      <c r="A117" s="50">
        <v>1376</v>
      </c>
      <c r="B117" s="51" t="s">
        <v>622</v>
      </c>
      <c r="C117" s="52" t="s">
        <v>578</v>
      </c>
      <c r="D117" s="54">
        <v>330</v>
      </c>
      <c r="E117" s="27"/>
      <c r="G117" s="13">
        <f>VLOOKUP(A126,'Factura de ventas'!$B$72:$G$369,6,0)</f>
        <v>2</v>
      </c>
    </row>
    <row r="118" spans="1:7" ht="18" x14ac:dyDescent="0.25">
      <c r="A118" s="50">
        <v>1377</v>
      </c>
      <c r="B118" s="51" t="s">
        <v>623</v>
      </c>
      <c r="C118" s="52" t="s">
        <v>570</v>
      </c>
      <c r="D118" s="54">
        <v>330</v>
      </c>
      <c r="E118" s="27"/>
      <c r="G118" s="13">
        <f>VLOOKUP(A127,'Factura de ventas'!$B$72:$G$369,6,0)</f>
        <v>1</v>
      </c>
    </row>
    <row r="119" spans="1:7" ht="18" x14ac:dyDescent="0.25">
      <c r="A119" s="50">
        <v>1378</v>
      </c>
      <c r="B119" s="51" t="s">
        <v>624</v>
      </c>
      <c r="C119" s="52" t="s">
        <v>562</v>
      </c>
      <c r="D119" s="54">
        <v>330</v>
      </c>
      <c r="E119" s="27"/>
      <c r="G119" s="13">
        <f>VLOOKUP(A128,'Factura de ventas'!$B$72:$G$369,6,0)</f>
        <v>1</v>
      </c>
    </row>
    <row r="120" spans="1:7" ht="18" x14ac:dyDescent="0.25">
      <c r="A120" s="50">
        <v>1379</v>
      </c>
      <c r="B120" s="51" t="s">
        <v>625</v>
      </c>
      <c r="C120" s="52" t="s">
        <v>563</v>
      </c>
      <c r="D120" s="54">
        <v>330</v>
      </c>
      <c r="E120" s="27"/>
      <c r="G120" s="13">
        <f>VLOOKUP(A129,'Factura de ventas'!$B$72:$G$369,6,0)</f>
        <v>1</v>
      </c>
    </row>
    <row r="121" spans="1:7" ht="18" x14ac:dyDescent="0.25">
      <c r="A121" s="50">
        <v>1380</v>
      </c>
      <c r="B121" s="51" t="s">
        <v>626</v>
      </c>
      <c r="C121" s="52" t="s">
        <v>564</v>
      </c>
      <c r="D121" s="54">
        <v>330</v>
      </c>
      <c r="E121" s="27"/>
      <c r="G121" s="13" t="e">
        <f>VLOOKUP(A130,'Factura de ventas'!$B$72:$G$369,6,0)</f>
        <v>#N/A</v>
      </c>
    </row>
    <row r="122" spans="1:7" ht="18" x14ac:dyDescent="0.25">
      <c r="A122" s="50">
        <v>1381</v>
      </c>
      <c r="B122" s="51" t="s">
        <v>627</v>
      </c>
      <c r="C122" s="52" t="s">
        <v>565</v>
      </c>
      <c r="D122" s="54">
        <v>330</v>
      </c>
      <c r="E122" s="27"/>
      <c r="G122" s="13">
        <f>VLOOKUP(A131,'Factura de ventas'!$B$72:$G$369,6,0)</f>
        <v>1</v>
      </c>
    </row>
    <row r="123" spans="1:7" ht="18" x14ac:dyDescent="0.25">
      <c r="A123" s="50">
        <v>1382</v>
      </c>
      <c r="B123" s="51" t="s">
        <v>628</v>
      </c>
      <c r="C123" s="52" t="s">
        <v>566</v>
      </c>
      <c r="D123" s="54">
        <v>330</v>
      </c>
      <c r="E123" s="27"/>
      <c r="G123" s="13">
        <f>VLOOKUP(A132,'Factura de ventas'!$B$72:$G$369,6,0)</f>
        <v>1</v>
      </c>
    </row>
    <row r="124" spans="1:7" ht="18" x14ac:dyDescent="0.25">
      <c r="A124" s="50">
        <v>1383</v>
      </c>
      <c r="B124" s="51" t="s">
        <v>629</v>
      </c>
      <c r="C124" s="52" t="s">
        <v>567</v>
      </c>
      <c r="D124" s="54">
        <v>330</v>
      </c>
      <c r="E124" s="27"/>
      <c r="G124" s="13">
        <f>VLOOKUP(A133,'Factura de ventas'!$B$72:$G$369,6,0)</f>
        <v>1</v>
      </c>
    </row>
    <row r="125" spans="1:7" ht="18" x14ac:dyDescent="0.25">
      <c r="A125" s="50">
        <v>1384</v>
      </c>
      <c r="B125" s="51" t="s">
        <v>630</v>
      </c>
      <c r="C125" s="52" t="s">
        <v>568</v>
      </c>
      <c r="D125" s="54">
        <v>330</v>
      </c>
      <c r="E125" s="27"/>
      <c r="G125" s="13">
        <f>VLOOKUP(A134,'Factura de ventas'!$B$72:$G$369,6,0)</f>
        <v>2</v>
      </c>
    </row>
    <row r="126" spans="1:7" ht="18" x14ac:dyDescent="0.25">
      <c r="A126" s="50">
        <v>1385</v>
      </c>
      <c r="B126" s="51" t="s">
        <v>631</v>
      </c>
      <c r="C126" s="52" t="s">
        <v>569</v>
      </c>
      <c r="D126" s="54">
        <v>330</v>
      </c>
      <c r="E126" s="27"/>
      <c r="G126" s="13">
        <f>VLOOKUP(A135,'Factura de ventas'!$B$72:$G$369,6,0)</f>
        <v>1</v>
      </c>
    </row>
    <row r="127" spans="1:7" ht="18" x14ac:dyDescent="0.25">
      <c r="A127" s="50">
        <v>1475</v>
      </c>
      <c r="B127" s="51" t="s">
        <v>632</v>
      </c>
      <c r="C127" s="52" t="s">
        <v>558</v>
      </c>
      <c r="D127" s="54">
        <v>90</v>
      </c>
      <c r="E127" s="27"/>
      <c r="G127" s="13">
        <f>VLOOKUP(A136,'Factura de ventas'!$B$72:$G$369,6,0)</f>
        <v>1</v>
      </c>
    </row>
    <row r="128" spans="1:7" ht="18" x14ac:dyDescent="0.25">
      <c r="A128" s="50">
        <v>1476</v>
      </c>
      <c r="B128" s="51" t="s">
        <v>633</v>
      </c>
      <c r="C128" s="52" t="s">
        <v>558</v>
      </c>
      <c r="D128" s="54">
        <v>140</v>
      </c>
      <c r="E128" s="27"/>
      <c r="G128" s="13">
        <f>VLOOKUP(A137,'Factura de ventas'!$B$72:$G$369,6,0)</f>
        <v>1</v>
      </c>
    </row>
    <row r="129" spans="1:7" ht="18" x14ac:dyDescent="0.25">
      <c r="A129" s="50">
        <v>1496</v>
      </c>
      <c r="B129" s="51" t="s">
        <v>634</v>
      </c>
      <c r="C129" s="52" t="s">
        <v>558</v>
      </c>
      <c r="D129" s="54">
        <v>35</v>
      </c>
      <c r="E129" s="27"/>
      <c r="G129" s="13">
        <f>VLOOKUP(A138,'Factura de ventas'!$B$72:$G$369,6,0)</f>
        <v>1</v>
      </c>
    </row>
    <row r="130" spans="1:7" ht="18" x14ac:dyDescent="0.25">
      <c r="A130" s="50">
        <v>6958</v>
      </c>
      <c r="B130" s="51" t="s">
        <v>919</v>
      </c>
      <c r="C130" s="52" t="s">
        <v>558</v>
      </c>
      <c r="D130" s="54">
        <v>25</v>
      </c>
      <c r="E130" s="27"/>
      <c r="G130" s="13">
        <f>VLOOKUP(A139,'Factura de ventas'!$B$72:$G$369,6,0)</f>
        <v>1</v>
      </c>
    </row>
    <row r="131" spans="1:7" ht="18" x14ac:dyDescent="0.25">
      <c r="A131" s="50">
        <v>1545</v>
      </c>
      <c r="B131" s="51" t="s">
        <v>766</v>
      </c>
      <c r="C131" s="52" t="s">
        <v>558</v>
      </c>
      <c r="D131" s="54">
        <v>65</v>
      </c>
      <c r="E131" s="27"/>
      <c r="G131" s="13">
        <f>VLOOKUP(A140,'Factura de ventas'!$B$72:$G$369,6,0)</f>
        <v>1</v>
      </c>
    </row>
    <row r="132" spans="1:7" ht="18" x14ac:dyDescent="0.25">
      <c r="A132" s="50">
        <v>1543</v>
      </c>
      <c r="B132" s="51" t="s">
        <v>635</v>
      </c>
      <c r="C132" s="52" t="s">
        <v>558</v>
      </c>
      <c r="D132" s="54">
        <v>65</v>
      </c>
      <c r="E132" s="27"/>
      <c r="G132" s="13">
        <f>VLOOKUP(A141,'Factura de ventas'!$B$72:$G$369,6,0)</f>
        <v>1</v>
      </c>
    </row>
    <row r="133" spans="1:7" ht="18" x14ac:dyDescent="0.25">
      <c r="A133" s="50">
        <v>1546</v>
      </c>
      <c r="B133" s="51" t="s">
        <v>767</v>
      </c>
      <c r="C133" s="52" t="s">
        <v>558</v>
      </c>
      <c r="D133" s="54">
        <v>65</v>
      </c>
      <c r="E133" s="27"/>
      <c r="G133" s="13" t="e">
        <f>VLOOKUP(A142,'Factura de ventas'!$B$72:$G$369,6,0)</f>
        <v>#N/A</v>
      </c>
    </row>
    <row r="134" spans="1:7" ht="18" x14ac:dyDescent="0.25">
      <c r="A134" s="50">
        <v>1814</v>
      </c>
      <c r="B134" s="51" t="s">
        <v>636</v>
      </c>
      <c r="C134" s="52" t="s">
        <v>558</v>
      </c>
      <c r="D134" s="54">
        <v>65</v>
      </c>
      <c r="E134" s="27"/>
      <c r="G134" s="13">
        <f>VLOOKUP(A143,'Factura de ventas'!$B$72:$G$369,6,0)</f>
        <v>1</v>
      </c>
    </row>
    <row r="135" spans="1:7" ht="18" x14ac:dyDescent="0.25">
      <c r="A135" s="50">
        <v>5306</v>
      </c>
      <c r="B135" s="51" t="s">
        <v>721</v>
      </c>
      <c r="C135" s="52" t="s">
        <v>558</v>
      </c>
      <c r="D135" s="54">
        <v>200</v>
      </c>
      <c r="E135" s="27"/>
      <c r="G135" s="13">
        <f>VLOOKUP(A144,'Factura de ventas'!$B$72:$G$369,6,0)</f>
        <v>1</v>
      </c>
    </row>
    <row r="136" spans="1:7" ht="18" x14ac:dyDescent="0.25">
      <c r="A136" s="50">
        <v>6185</v>
      </c>
      <c r="B136" s="51" t="s">
        <v>607</v>
      </c>
      <c r="C136" s="52" t="s">
        <v>558</v>
      </c>
      <c r="D136" s="54">
        <v>900</v>
      </c>
      <c r="E136" s="27"/>
      <c r="G136" s="13">
        <f>VLOOKUP(A145,'Factura de ventas'!$B$72:$G$369,6,0)</f>
        <v>1</v>
      </c>
    </row>
    <row r="137" spans="1:7" ht="18" x14ac:dyDescent="0.25">
      <c r="A137" s="50">
        <v>6184</v>
      </c>
      <c r="B137" s="51" t="s">
        <v>888</v>
      </c>
      <c r="C137" s="52" t="s">
        <v>558</v>
      </c>
      <c r="D137" s="54">
        <v>790</v>
      </c>
      <c r="E137" s="27"/>
      <c r="G137" s="13">
        <f>VLOOKUP(A146,'Factura de ventas'!$B$72:$G$369,6,0)</f>
        <v>1</v>
      </c>
    </row>
    <row r="138" spans="1:7" ht="18" x14ac:dyDescent="0.25">
      <c r="A138" s="50">
        <v>6067</v>
      </c>
      <c r="B138" s="50" t="s">
        <v>605</v>
      </c>
      <c r="C138" s="51" t="s">
        <v>558</v>
      </c>
      <c r="D138" s="52">
        <v>35</v>
      </c>
      <c r="E138" s="27"/>
      <c r="G138" s="13">
        <f>VLOOKUP(A147,'Factura de ventas'!$B$72:$G$369,6,0)</f>
        <v>1</v>
      </c>
    </row>
    <row r="139" spans="1:7" ht="18" x14ac:dyDescent="0.25">
      <c r="A139" s="50">
        <v>2080</v>
      </c>
      <c r="B139" s="51" t="s">
        <v>640</v>
      </c>
      <c r="C139" s="52" t="s">
        <v>558</v>
      </c>
      <c r="D139" s="54">
        <v>45</v>
      </c>
      <c r="E139" s="27"/>
      <c r="G139" s="13">
        <f>VLOOKUP(A148,'Factura de ventas'!$B$72:$G$369,6,0)</f>
        <v>1</v>
      </c>
    </row>
    <row r="140" spans="1:7" ht="18" x14ac:dyDescent="0.25">
      <c r="A140" s="50">
        <v>2082</v>
      </c>
      <c r="B140" s="51" t="s">
        <v>641</v>
      </c>
      <c r="C140" s="52" t="s">
        <v>558</v>
      </c>
      <c r="D140" s="54">
        <v>45</v>
      </c>
      <c r="E140" s="27"/>
      <c r="G140" s="13">
        <f>VLOOKUP(A149,'Factura de ventas'!$B$72:$G$369,6,0)</f>
        <v>2</v>
      </c>
    </row>
    <row r="141" spans="1:7" ht="18" x14ac:dyDescent="0.25">
      <c r="A141" s="50">
        <v>2084</v>
      </c>
      <c r="B141" s="51" t="s">
        <v>642</v>
      </c>
      <c r="C141" s="52" t="s">
        <v>558</v>
      </c>
      <c r="D141" s="54">
        <v>25</v>
      </c>
      <c r="E141" s="27"/>
      <c r="G141" s="13">
        <f>VLOOKUP(A150,'Factura de ventas'!$B$72:$G$369,6,0)</f>
        <v>2</v>
      </c>
    </row>
    <row r="142" spans="1:7" ht="18" x14ac:dyDescent="0.25">
      <c r="A142" s="50">
        <v>6957</v>
      </c>
      <c r="B142" s="51" t="s">
        <v>918</v>
      </c>
      <c r="C142" s="52" t="s">
        <v>558</v>
      </c>
      <c r="D142" s="54">
        <v>45</v>
      </c>
      <c r="E142" s="27"/>
      <c r="G142" s="13">
        <f>VLOOKUP(A151,'Factura de ventas'!$B$72:$G$369,6,0)</f>
        <v>2</v>
      </c>
    </row>
    <row r="143" spans="1:7" ht="18" x14ac:dyDescent="0.25">
      <c r="A143" s="50">
        <v>2100</v>
      </c>
      <c r="B143" s="51" t="s">
        <v>771</v>
      </c>
      <c r="C143" s="52" t="s">
        <v>558</v>
      </c>
      <c r="D143" s="54">
        <v>310</v>
      </c>
      <c r="E143" s="27"/>
      <c r="G143" s="13">
        <f>VLOOKUP(A152,'Factura de ventas'!$B$72:$G$369,6,0)</f>
        <v>2</v>
      </c>
    </row>
    <row r="144" spans="1:7" ht="18" x14ac:dyDescent="0.25">
      <c r="A144" s="50">
        <v>4957</v>
      </c>
      <c r="B144" s="51" t="s">
        <v>719</v>
      </c>
      <c r="C144" s="52" t="s">
        <v>558</v>
      </c>
      <c r="D144" s="54">
        <v>700</v>
      </c>
      <c r="E144" s="27"/>
      <c r="G144" s="13">
        <f>VLOOKUP(A153,'Factura de ventas'!$B$72:$G$369,6,0)</f>
        <v>2</v>
      </c>
    </row>
    <row r="145" spans="1:7" ht="18" x14ac:dyDescent="0.25">
      <c r="A145" s="50">
        <v>2153</v>
      </c>
      <c r="B145" s="51" t="s">
        <v>643</v>
      </c>
      <c r="C145" s="52" t="s">
        <v>558</v>
      </c>
      <c r="D145" s="54">
        <v>1100</v>
      </c>
      <c r="E145" s="27"/>
      <c r="G145" s="13">
        <f>VLOOKUP(A154,'Factura de ventas'!$B$72:$G$369,6,0)</f>
        <v>2</v>
      </c>
    </row>
    <row r="146" spans="1:7" ht="18" x14ac:dyDescent="0.25">
      <c r="A146" s="50">
        <v>2279</v>
      </c>
      <c r="B146" s="51" t="s">
        <v>772</v>
      </c>
      <c r="C146" s="52" t="s">
        <v>558</v>
      </c>
      <c r="D146" s="54">
        <v>500</v>
      </c>
      <c r="E146" s="27"/>
      <c r="G146" s="13">
        <f>VLOOKUP(A155,'Factura de ventas'!$B$72:$G$369,6,0)</f>
        <v>2</v>
      </c>
    </row>
    <row r="147" spans="1:7" ht="18" x14ac:dyDescent="0.25">
      <c r="A147" s="50">
        <v>5358</v>
      </c>
      <c r="B147" s="51" t="s">
        <v>722</v>
      </c>
      <c r="C147" s="52" t="s">
        <v>558</v>
      </c>
      <c r="D147" s="54">
        <v>180</v>
      </c>
      <c r="E147" s="27"/>
      <c r="G147" s="13">
        <f>VLOOKUP(A156,'Factura de ventas'!$B$72:$G$369,6,0)</f>
        <v>2</v>
      </c>
    </row>
    <row r="148" spans="1:7" ht="18" x14ac:dyDescent="0.25">
      <c r="A148" s="50">
        <v>5488</v>
      </c>
      <c r="B148" s="51" t="s">
        <v>728</v>
      </c>
      <c r="C148" s="52" t="s">
        <v>558</v>
      </c>
      <c r="D148" s="54">
        <v>180</v>
      </c>
      <c r="E148" s="27"/>
      <c r="G148" s="13">
        <f>VLOOKUP(A157,'Factura de ventas'!$B$72:$G$369,6,0)</f>
        <v>2</v>
      </c>
    </row>
    <row r="149" spans="1:7" ht="18" x14ac:dyDescent="0.25">
      <c r="A149" s="50">
        <v>3959</v>
      </c>
      <c r="B149" s="51" t="s">
        <v>718</v>
      </c>
      <c r="C149" s="52" t="s">
        <v>570</v>
      </c>
      <c r="D149" s="54">
        <v>1450</v>
      </c>
      <c r="E149" s="27"/>
      <c r="G149" s="13">
        <f>VLOOKUP(A158,'Factura de ventas'!$B$72:$G$369,6,0)</f>
        <v>2</v>
      </c>
    </row>
    <row r="150" spans="1:7" ht="18" x14ac:dyDescent="0.25">
      <c r="A150" s="50">
        <v>2385</v>
      </c>
      <c r="B150" s="51" t="s">
        <v>644</v>
      </c>
      <c r="C150" s="52" t="s">
        <v>562</v>
      </c>
      <c r="D150" s="54">
        <v>1450</v>
      </c>
      <c r="E150" s="27"/>
      <c r="G150" s="13">
        <f>VLOOKUP(A159,'Factura de ventas'!$B$72:$G$369,6,0)</f>
        <v>2</v>
      </c>
    </row>
    <row r="151" spans="1:7" ht="18" x14ac:dyDescent="0.25">
      <c r="A151" s="50">
        <v>2386</v>
      </c>
      <c r="B151" s="51" t="s">
        <v>645</v>
      </c>
      <c r="C151" s="52" t="s">
        <v>563</v>
      </c>
      <c r="D151" s="54">
        <v>1450</v>
      </c>
      <c r="E151" s="27"/>
      <c r="G151" s="13">
        <f>VLOOKUP(A160,'Factura de ventas'!$B$72:$G$369,6,0)</f>
        <v>2</v>
      </c>
    </row>
    <row r="152" spans="1:7" ht="18" x14ac:dyDescent="0.25">
      <c r="A152" s="50">
        <v>2387</v>
      </c>
      <c r="B152" s="51" t="s">
        <v>646</v>
      </c>
      <c r="C152" s="52" t="s">
        <v>564</v>
      </c>
      <c r="D152" s="54">
        <v>1450</v>
      </c>
      <c r="E152" s="27"/>
      <c r="G152" s="13">
        <f>VLOOKUP(A161,'Factura de ventas'!$B$72:$G$369,6,0)</f>
        <v>2</v>
      </c>
    </row>
    <row r="153" spans="1:7" ht="18" x14ac:dyDescent="0.25">
      <c r="A153" s="50">
        <v>2388</v>
      </c>
      <c r="B153" s="51" t="s">
        <v>647</v>
      </c>
      <c r="C153" s="52" t="s">
        <v>565</v>
      </c>
      <c r="D153" s="54">
        <v>1450</v>
      </c>
      <c r="E153" s="27"/>
      <c r="G153" s="13">
        <f>VLOOKUP(A162,'Factura de ventas'!$B$72:$G$369,6,0)</f>
        <v>2</v>
      </c>
    </row>
    <row r="154" spans="1:7" ht="18" x14ac:dyDescent="0.25">
      <c r="A154" s="50">
        <v>2389</v>
      </c>
      <c r="B154" s="51" t="s">
        <v>648</v>
      </c>
      <c r="C154" s="52" t="s">
        <v>566</v>
      </c>
      <c r="D154" s="54">
        <v>1450</v>
      </c>
      <c r="E154" s="27"/>
      <c r="G154" s="13">
        <f>VLOOKUP(A163,'Factura de ventas'!$B$72:$G$369,6,0)</f>
        <v>2</v>
      </c>
    </row>
    <row r="155" spans="1:7" ht="18" x14ac:dyDescent="0.25">
      <c r="A155" s="50">
        <v>2390</v>
      </c>
      <c r="B155" s="51" t="s">
        <v>649</v>
      </c>
      <c r="C155" s="52" t="s">
        <v>567</v>
      </c>
      <c r="D155" s="54">
        <v>1450</v>
      </c>
      <c r="E155" s="27"/>
      <c r="G155" s="13">
        <f>VLOOKUP(A164,'Factura de ventas'!$B$72:$G$369,6,0)</f>
        <v>2</v>
      </c>
    </row>
    <row r="156" spans="1:7" ht="18" x14ac:dyDescent="0.25">
      <c r="A156" s="50">
        <v>2391</v>
      </c>
      <c r="B156" s="51" t="s">
        <v>650</v>
      </c>
      <c r="C156" s="52" t="s">
        <v>568</v>
      </c>
      <c r="D156" s="54">
        <v>1450</v>
      </c>
      <c r="E156" s="27"/>
      <c r="G156" s="13">
        <f>VLOOKUP(A165,'Factura de ventas'!$B$72:$G$369,6,0)</f>
        <v>2</v>
      </c>
    </row>
    <row r="157" spans="1:7" ht="18" x14ac:dyDescent="0.25">
      <c r="A157" s="50">
        <v>2392</v>
      </c>
      <c r="B157" s="51" t="s">
        <v>651</v>
      </c>
      <c r="C157" s="52" t="s">
        <v>569</v>
      </c>
      <c r="D157" s="54">
        <v>1450</v>
      </c>
      <c r="E157" s="27"/>
      <c r="G157" s="13">
        <f>VLOOKUP(A166,'Factura de ventas'!$B$72:$G$369,6,0)</f>
        <v>2</v>
      </c>
    </row>
    <row r="158" spans="1:7" ht="18" x14ac:dyDescent="0.25">
      <c r="A158" s="50">
        <v>2393</v>
      </c>
      <c r="B158" s="51" t="s">
        <v>652</v>
      </c>
      <c r="C158" s="52" t="s">
        <v>571</v>
      </c>
      <c r="D158" s="54">
        <v>1450</v>
      </c>
      <c r="E158" s="27"/>
      <c r="G158" s="13">
        <f>VLOOKUP(A167,'Factura de ventas'!$B$72:$G$369,6,0)</f>
        <v>2</v>
      </c>
    </row>
    <row r="159" spans="1:7" ht="18" x14ac:dyDescent="0.25">
      <c r="A159" s="50">
        <v>2403</v>
      </c>
      <c r="B159" s="51" t="s">
        <v>653</v>
      </c>
      <c r="C159" s="52" t="s">
        <v>577</v>
      </c>
      <c r="D159" s="54">
        <v>380</v>
      </c>
      <c r="E159" s="27"/>
      <c r="G159" s="13">
        <f>VLOOKUP(A168,'Factura de ventas'!$B$72:$G$369,6,0)</f>
        <v>2</v>
      </c>
    </row>
    <row r="160" spans="1:7" ht="18" x14ac:dyDescent="0.25">
      <c r="A160" s="50">
        <v>2404</v>
      </c>
      <c r="B160" s="51" t="s">
        <v>654</v>
      </c>
      <c r="C160" s="52" t="s">
        <v>578</v>
      </c>
      <c r="D160" s="54">
        <v>380</v>
      </c>
      <c r="E160" s="27"/>
      <c r="G160" s="13">
        <f>VLOOKUP(A169,'Factura de ventas'!$B$72:$G$369,6,0)</f>
        <v>2</v>
      </c>
    </row>
    <row r="161" spans="1:7" ht="18" x14ac:dyDescent="0.25">
      <c r="A161" s="50">
        <v>2405</v>
      </c>
      <c r="B161" s="51" t="s">
        <v>655</v>
      </c>
      <c r="C161" s="52" t="s">
        <v>570</v>
      </c>
      <c r="D161" s="54">
        <v>380</v>
      </c>
      <c r="E161" s="27"/>
      <c r="G161" s="13">
        <f>VLOOKUP(A170,'Factura de ventas'!$B$72:$G$369,6,0)</f>
        <v>2</v>
      </c>
    </row>
    <row r="162" spans="1:7" ht="18" x14ac:dyDescent="0.25">
      <c r="A162" s="50">
        <v>2406</v>
      </c>
      <c r="B162" s="51" t="s">
        <v>656</v>
      </c>
      <c r="C162" s="52" t="s">
        <v>562</v>
      </c>
      <c r="D162" s="54">
        <v>380</v>
      </c>
      <c r="E162" s="27"/>
      <c r="G162" s="13">
        <f>VLOOKUP(A171,'Factura de ventas'!$B$72:$G$369,6,0)</f>
        <v>2</v>
      </c>
    </row>
    <row r="163" spans="1:7" ht="18" x14ac:dyDescent="0.25">
      <c r="A163" s="50">
        <v>2407</v>
      </c>
      <c r="B163" s="51" t="s">
        <v>657</v>
      </c>
      <c r="C163" s="52" t="s">
        <v>563</v>
      </c>
      <c r="D163" s="54">
        <v>380</v>
      </c>
      <c r="E163" s="27"/>
      <c r="G163" s="13">
        <f>VLOOKUP(A172,'Factura de ventas'!$B$72:$G$369,6,0)</f>
        <v>2</v>
      </c>
    </row>
    <row r="164" spans="1:7" ht="18" x14ac:dyDescent="0.25">
      <c r="A164" s="50">
        <v>2408</v>
      </c>
      <c r="B164" s="51" t="s">
        <v>658</v>
      </c>
      <c r="C164" s="52" t="s">
        <v>564</v>
      </c>
      <c r="D164" s="54">
        <v>380</v>
      </c>
      <c r="E164" s="27"/>
      <c r="G164" s="13">
        <f>VLOOKUP(A173,'Factura de ventas'!$B$72:$G$369,6,0)</f>
        <v>2</v>
      </c>
    </row>
    <row r="165" spans="1:7" ht="18" x14ac:dyDescent="0.25">
      <c r="A165" s="50">
        <v>2409</v>
      </c>
      <c r="B165" s="51" t="s">
        <v>659</v>
      </c>
      <c r="C165" s="52" t="s">
        <v>565</v>
      </c>
      <c r="D165" s="54">
        <v>380</v>
      </c>
      <c r="E165" s="27"/>
      <c r="G165" s="13">
        <f>VLOOKUP(A174,'Factura de ventas'!$B$72:$G$369,6,0)</f>
        <v>2</v>
      </c>
    </row>
    <row r="166" spans="1:7" ht="18" x14ac:dyDescent="0.25">
      <c r="A166" s="50">
        <v>2410</v>
      </c>
      <c r="B166" s="51" t="s">
        <v>660</v>
      </c>
      <c r="C166" s="52" t="s">
        <v>566</v>
      </c>
      <c r="D166" s="54">
        <v>380</v>
      </c>
      <c r="E166" s="27"/>
      <c r="G166" s="13">
        <f>VLOOKUP(A175,'Factura de ventas'!$B$72:$G$369,6,0)</f>
        <v>2</v>
      </c>
    </row>
    <row r="167" spans="1:7" ht="18" x14ac:dyDescent="0.25">
      <c r="A167" s="50">
        <v>2411</v>
      </c>
      <c r="B167" s="51" t="s">
        <v>661</v>
      </c>
      <c r="C167" s="52" t="s">
        <v>567</v>
      </c>
      <c r="D167" s="54">
        <v>380</v>
      </c>
      <c r="E167" s="27"/>
      <c r="G167" s="13">
        <f>VLOOKUP(A176,'Factura de ventas'!$B$72:$G$369,6,0)</f>
        <v>2</v>
      </c>
    </row>
    <row r="168" spans="1:7" ht="18" x14ac:dyDescent="0.25">
      <c r="A168" s="50">
        <v>2412</v>
      </c>
      <c r="B168" s="51" t="s">
        <v>662</v>
      </c>
      <c r="C168" s="52" t="s">
        <v>568</v>
      </c>
      <c r="D168" s="54">
        <v>380</v>
      </c>
      <c r="E168" s="27"/>
      <c r="G168" s="13">
        <f>VLOOKUP(A177,'Factura de ventas'!$B$72:$G$369,6,0)</f>
        <v>2</v>
      </c>
    </row>
    <row r="169" spans="1:7" ht="18" x14ac:dyDescent="0.25">
      <c r="A169" s="50">
        <v>2413</v>
      </c>
      <c r="B169" s="51" t="s">
        <v>663</v>
      </c>
      <c r="C169" s="52" t="s">
        <v>569</v>
      </c>
      <c r="D169" s="54">
        <v>380</v>
      </c>
      <c r="E169" s="27"/>
      <c r="G169" s="13">
        <f>VLOOKUP(A178,'Factura de ventas'!$B$72:$G$369,6,0)</f>
        <v>2</v>
      </c>
    </row>
    <row r="170" spans="1:7" ht="18" x14ac:dyDescent="0.25">
      <c r="A170" s="50">
        <v>2418</v>
      </c>
      <c r="B170" s="51" t="s">
        <v>773</v>
      </c>
      <c r="C170" s="52" t="s">
        <v>570</v>
      </c>
      <c r="D170" s="54">
        <v>385</v>
      </c>
      <c r="E170" s="27"/>
      <c r="G170" s="13">
        <f>VLOOKUP(A179,'Factura de ventas'!$B$72:$G$369,6,0)</f>
        <v>2</v>
      </c>
    </row>
    <row r="171" spans="1:7" ht="18" x14ac:dyDescent="0.25">
      <c r="A171" s="50">
        <v>2419</v>
      </c>
      <c r="B171" s="51" t="s">
        <v>774</v>
      </c>
      <c r="C171" s="52" t="s">
        <v>562</v>
      </c>
      <c r="D171" s="54">
        <v>385</v>
      </c>
      <c r="E171" s="27"/>
      <c r="G171" s="13">
        <f>VLOOKUP(A180,'Factura de ventas'!$B$72:$G$369,6,0)</f>
        <v>2</v>
      </c>
    </row>
    <row r="172" spans="1:7" ht="18" x14ac:dyDescent="0.25">
      <c r="A172" s="50">
        <v>2420</v>
      </c>
      <c r="B172" s="51" t="s">
        <v>775</v>
      </c>
      <c r="C172" s="52" t="s">
        <v>563</v>
      </c>
      <c r="D172" s="54">
        <v>385</v>
      </c>
      <c r="E172" s="27"/>
      <c r="G172" s="13">
        <f>VLOOKUP(A181,'Factura de ventas'!$B$72:$G$369,6,0)</f>
        <v>2</v>
      </c>
    </row>
    <row r="173" spans="1:7" ht="18" x14ac:dyDescent="0.25">
      <c r="A173" s="50">
        <v>2421</v>
      </c>
      <c r="B173" s="51" t="s">
        <v>776</v>
      </c>
      <c r="C173" s="52" t="s">
        <v>564</v>
      </c>
      <c r="D173" s="54">
        <v>385</v>
      </c>
      <c r="E173" s="27"/>
      <c r="G173" s="13">
        <f>VLOOKUP(A182,'Factura de ventas'!$B$72:$G$369,6,0)</f>
        <v>2</v>
      </c>
    </row>
    <row r="174" spans="1:7" ht="18" x14ac:dyDescent="0.25">
      <c r="A174" s="50">
        <v>2422</v>
      </c>
      <c r="B174" s="51" t="s">
        <v>777</v>
      </c>
      <c r="C174" s="52" t="s">
        <v>565</v>
      </c>
      <c r="D174" s="54">
        <v>385</v>
      </c>
      <c r="E174" s="27"/>
      <c r="G174" s="13">
        <f>VLOOKUP(A183,'Factura de ventas'!$B$72:$G$369,6,0)</f>
        <v>2</v>
      </c>
    </row>
    <row r="175" spans="1:7" ht="18" x14ac:dyDescent="0.25">
      <c r="A175" s="50">
        <v>2423</v>
      </c>
      <c r="B175" s="51" t="s">
        <v>778</v>
      </c>
      <c r="C175" s="52" t="s">
        <v>566</v>
      </c>
      <c r="D175" s="54">
        <v>385</v>
      </c>
      <c r="E175" s="27"/>
      <c r="G175" s="13">
        <f>VLOOKUP(A184,'Factura de ventas'!$B$72:$G$369,6,0)</f>
        <v>2</v>
      </c>
    </row>
    <row r="176" spans="1:7" ht="18" x14ac:dyDescent="0.25">
      <c r="A176" s="50">
        <v>2424</v>
      </c>
      <c r="B176" s="51" t="s">
        <v>779</v>
      </c>
      <c r="C176" s="52" t="s">
        <v>567</v>
      </c>
      <c r="D176" s="54">
        <v>385</v>
      </c>
      <c r="E176" s="27"/>
      <c r="G176" s="13">
        <f>VLOOKUP(A185,'Factura de ventas'!$B$72:$G$369,6,0)</f>
        <v>1</v>
      </c>
    </row>
    <row r="177" spans="1:7" ht="18" x14ac:dyDescent="0.25">
      <c r="A177" s="50">
        <v>2425</v>
      </c>
      <c r="B177" s="51" t="s">
        <v>780</v>
      </c>
      <c r="C177" s="52" t="s">
        <v>568</v>
      </c>
      <c r="D177" s="54">
        <v>385</v>
      </c>
      <c r="E177" s="27"/>
      <c r="G177" s="13">
        <f>VLOOKUP(A186,'Factura de ventas'!$B$72:$G$369,6,0)</f>
        <v>1</v>
      </c>
    </row>
    <row r="178" spans="1:7" ht="18" x14ac:dyDescent="0.25">
      <c r="A178" s="50">
        <v>2426</v>
      </c>
      <c r="B178" s="51" t="s">
        <v>781</v>
      </c>
      <c r="C178" s="52" t="s">
        <v>569</v>
      </c>
      <c r="D178" s="54">
        <v>385</v>
      </c>
      <c r="E178" s="27"/>
      <c r="G178" s="13" t="e">
        <f>VLOOKUP(A187,'Factura de ventas'!$B$72:$G$369,6,0)</f>
        <v>#N/A</v>
      </c>
    </row>
    <row r="179" spans="1:7" ht="18" x14ac:dyDescent="0.25">
      <c r="A179" s="50">
        <v>2427</v>
      </c>
      <c r="B179" s="51" t="s">
        <v>782</v>
      </c>
      <c r="C179" s="52" t="s">
        <v>571</v>
      </c>
      <c r="D179" s="54">
        <v>385</v>
      </c>
      <c r="E179" s="27"/>
      <c r="G179" s="13">
        <f>VLOOKUP(A188,'Factura de ventas'!$B$72:$G$369,6,0)</f>
        <v>2</v>
      </c>
    </row>
    <row r="180" spans="1:7" ht="18" x14ac:dyDescent="0.25">
      <c r="A180" s="50">
        <v>2428</v>
      </c>
      <c r="B180" s="51" t="s">
        <v>783</v>
      </c>
      <c r="C180" s="52" t="s">
        <v>579</v>
      </c>
      <c r="D180" s="54">
        <v>385</v>
      </c>
      <c r="E180" s="27"/>
      <c r="G180" s="13">
        <f>VLOOKUP(A189,'Factura de ventas'!$B$72:$G$369,6,0)</f>
        <v>2</v>
      </c>
    </row>
    <row r="181" spans="1:7" ht="18" x14ac:dyDescent="0.25">
      <c r="A181" s="50">
        <v>2429</v>
      </c>
      <c r="B181" s="51" t="s">
        <v>784</v>
      </c>
      <c r="C181" s="52" t="s">
        <v>580</v>
      </c>
      <c r="D181" s="54">
        <v>385</v>
      </c>
      <c r="E181" s="27"/>
      <c r="G181" s="13">
        <f>VLOOKUP(A190,'Factura de ventas'!$B$72:$G$369,6,0)</f>
        <v>2</v>
      </c>
    </row>
    <row r="182" spans="1:7" ht="18" x14ac:dyDescent="0.25">
      <c r="A182" s="50">
        <v>2430</v>
      </c>
      <c r="B182" s="51" t="s">
        <v>785</v>
      </c>
      <c r="C182" s="52" t="s">
        <v>581</v>
      </c>
      <c r="D182" s="54">
        <v>385</v>
      </c>
      <c r="E182" s="27"/>
      <c r="G182" s="13">
        <f>VLOOKUP(A191,'Factura de ventas'!$B$72:$G$369,6,0)</f>
        <v>2</v>
      </c>
    </row>
    <row r="183" spans="1:7" ht="18" x14ac:dyDescent="0.25">
      <c r="A183" s="50">
        <v>2431</v>
      </c>
      <c r="B183" s="51" t="s">
        <v>786</v>
      </c>
      <c r="C183" s="52" t="s">
        <v>582</v>
      </c>
      <c r="D183" s="54">
        <v>385</v>
      </c>
      <c r="E183" s="27"/>
      <c r="G183" s="13" t="e">
        <f>VLOOKUP(A192,'Factura de ventas'!$B$72:$G$369,6,0)</f>
        <v>#N/A</v>
      </c>
    </row>
    <row r="184" spans="1:7" ht="18" x14ac:dyDescent="0.25">
      <c r="A184" s="50">
        <v>2432</v>
      </c>
      <c r="B184" s="51" t="s">
        <v>787</v>
      </c>
      <c r="C184" s="52" t="s">
        <v>583</v>
      </c>
      <c r="D184" s="54">
        <v>385</v>
      </c>
      <c r="E184" s="27"/>
      <c r="G184" s="13">
        <f>VLOOKUP(A193,'Factura de ventas'!$B$72:$G$369,6,0)</f>
        <v>2</v>
      </c>
    </row>
    <row r="185" spans="1:7" ht="18" x14ac:dyDescent="0.25">
      <c r="A185" s="50">
        <v>6072</v>
      </c>
      <c r="B185" s="51" t="s">
        <v>884</v>
      </c>
      <c r="C185" s="52" t="s">
        <v>558</v>
      </c>
      <c r="D185" s="54">
        <v>150</v>
      </c>
      <c r="E185" s="27"/>
      <c r="G185" s="13">
        <f>VLOOKUP(A194,'Factura de ventas'!$B$72:$G$369,6,0)</f>
        <v>2</v>
      </c>
    </row>
    <row r="186" spans="1:7" ht="18" x14ac:dyDescent="0.25">
      <c r="A186" s="50">
        <v>2537</v>
      </c>
      <c r="B186" s="51" t="s">
        <v>664</v>
      </c>
      <c r="C186" s="52" t="s">
        <v>558</v>
      </c>
      <c r="D186" s="54">
        <v>20</v>
      </c>
      <c r="E186" s="27"/>
      <c r="G186" s="13">
        <f>VLOOKUP(A195,'Factura de ventas'!$B$72:$G$369,6,0)</f>
        <v>2</v>
      </c>
    </row>
    <row r="187" spans="1:7" ht="18" x14ac:dyDescent="0.25">
      <c r="A187" s="50">
        <v>6961</v>
      </c>
      <c r="B187" s="51" t="s">
        <v>922</v>
      </c>
      <c r="C187" s="52" t="s">
        <v>558</v>
      </c>
      <c r="D187" s="54">
        <v>20</v>
      </c>
      <c r="E187" s="27"/>
      <c r="G187" s="13">
        <f>VLOOKUP(A196,'Factura de ventas'!$B$72:$G$369,6,0)</f>
        <v>2</v>
      </c>
    </row>
    <row r="188" spans="1:7" ht="18" x14ac:dyDescent="0.25">
      <c r="A188" s="50">
        <v>5397</v>
      </c>
      <c r="B188" s="51" t="s">
        <v>724</v>
      </c>
      <c r="C188" s="52" t="s">
        <v>558</v>
      </c>
      <c r="D188" s="54">
        <v>85</v>
      </c>
      <c r="E188" s="27"/>
      <c r="G188" s="13">
        <f>VLOOKUP(A197,'Factura de ventas'!$B$72:$G$369,6,0)</f>
        <v>2</v>
      </c>
    </row>
    <row r="189" spans="1:7" ht="18" x14ac:dyDescent="0.25">
      <c r="A189" s="50">
        <v>2568</v>
      </c>
      <c r="B189" s="51" t="s">
        <v>665</v>
      </c>
      <c r="C189" s="52" t="s">
        <v>558</v>
      </c>
      <c r="D189" s="54">
        <v>65</v>
      </c>
      <c r="E189" s="27"/>
      <c r="G189" s="13">
        <f>VLOOKUP(A198,'Factura de ventas'!$B$72:$G$369,6,0)</f>
        <v>2</v>
      </c>
    </row>
    <row r="190" spans="1:7" ht="18" x14ac:dyDescent="0.25">
      <c r="A190" s="50">
        <v>2570</v>
      </c>
      <c r="B190" s="51" t="s">
        <v>666</v>
      </c>
      <c r="C190" s="52" t="s">
        <v>558</v>
      </c>
      <c r="D190" s="54">
        <v>65</v>
      </c>
      <c r="E190" s="27"/>
      <c r="G190" s="13">
        <f>VLOOKUP(A199,'Factura de ventas'!$B$72:$G$369,6,0)</f>
        <v>2</v>
      </c>
    </row>
    <row r="191" spans="1:7" ht="18" x14ac:dyDescent="0.25">
      <c r="A191" s="50">
        <v>2571</v>
      </c>
      <c r="B191" s="51" t="s">
        <v>667</v>
      </c>
      <c r="C191" s="52" t="s">
        <v>558</v>
      </c>
      <c r="D191" s="54">
        <v>75</v>
      </c>
      <c r="E191" s="27"/>
      <c r="G191" s="13">
        <f>VLOOKUP(A200,'Factura de ventas'!$B$72:$G$369,6,0)</f>
        <v>2</v>
      </c>
    </row>
    <row r="192" spans="1:7" ht="18" x14ac:dyDescent="0.25">
      <c r="A192" s="50">
        <v>6965</v>
      </c>
      <c r="B192" s="51" t="s">
        <v>925</v>
      </c>
      <c r="C192" s="52" t="s">
        <v>558</v>
      </c>
      <c r="D192" s="54">
        <v>20</v>
      </c>
      <c r="E192" s="27"/>
      <c r="G192" s="13">
        <f>VLOOKUP(A201,'Factura de ventas'!$B$72:$G$369,6,0)</f>
        <v>2</v>
      </c>
    </row>
    <row r="193" spans="1:7" ht="18" x14ac:dyDescent="0.25">
      <c r="A193" s="50">
        <v>6900</v>
      </c>
      <c r="B193" s="51" t="s">
        <v>890</v>
      </c>
      <c r="C193" s="53" t="s">
        <v>592</v>
      </c>
      <c r="D193" s="54">
        <v>180</v>
      </c>
      <c r="E193" s="27"/>
      <c r="G193" s="13">
        <f>VLOOKUP(A202,'Factura de ventas'!$B$72:$G$369,6,0)</f>
        <v>2</v>
      </c>
    </row>
    <row r="194" spans="1:7" ht="18" x14ac:dyDescent="0.25">
      <c r="A194" s="50">
        <v>6899</v>
      </c>
      <c r="B194" s="51" t="s">
        <v>889</v>
      </c>
      <c r="C194" s="52" t="s">
        <v>591</v>
      </c>
      <c r="D194" s="54">
        <v>180</v>
      </c>
      <c r="E194" s="27"/>
      <c r="G194" s="13">
        <f>VLOOKUP(A203,'Factura de ventas'!$B$72:$G$369,6,0)</f>
        <v>2</v>
      </c>
    </row>
    <row r="195" spans="1:7" ht="18" x14ac:dyDescent="0.25">
      <c r="A195" s="50">
        <v>2607</v>
      </c>
      <c r="B195" s="51" t="s">
        <v>789</v>
      </c>
      <c r="C195" s="52" t="s">
        <v>596</v>
      </c>
      <c r="D195" s="54">
        <v>75</v>
      </c>
      <c r="E195" s="27"/>
      <c r="G195" s="13">
        <f>VLOOKUP(A204,'Factura de ventas'!$B$72:$G$369,6,0)</f>
        <v>2</v>
      </c>
    </row>
    <row r="196" spans="1:7" ht="18" x14ac:dyDescent="0.25">
      <c r="A196" s="50">
        <v>2608</v>
      </c>
      <c r="B196" s="51" t="s">
        <v>790</v>
      </c>
      <c r="C196" s="52" t="s">
        <v>594</v>
      </c>
      <c r="D196" s="54">
        <v>75</v>
      </c>
      <c r="E196" s="27"/>
      <c r="G196" s="13">
        <f>VLOOKUP(A205,'Factura de ventas'!$B$72:$G$369,6,0)</f>
        <v>2</v>
      </c>
    </row>
    <row r="197" spans="1:7" ht="18" x14ac:dyDescent="0.25">
      <c r="A197" s="50">
        <v>2609</v>
      </c>
      <c r="B197" s="51" t="s">
        <v>791</v>
      </c>
      <c r="C197" s="52" t="s">
        <v>597</v>
      </c>
      <c r="D197" s="54">
        <v>75</v>
      </c>
      <c r="E197" s="27"/>
      <c r="G197" s="13">
        <f>VLOOKUP(A206,'Factura de ventas'!$B$72:$G$369,6,0)</f>
        <v>2</v>
      </c>
    </row>
    <row r="198" spans="1:7" ht="18" x14ac:dyDescent="0.25">
      <c r="A198" s="50">
        <v>2610</v>
      </c>
      <c r="B198" s="51" t="s">
        <v>792</v>
      </c>
      <c r="C198" s="52" t="s">
        <v>596</v>
      </c>
      <c r="D198" s="54">
        <v>75</v>
      </c>
      <c r="E198" s="27"/>
      <c r="G198" s="13">
        <f>VLOOKUP(A207,'Factura de ventas'!$B$72:$G$369,6,0)</f>
        <v>2</v>
      </c>
    </row>
    <row r="199" spans="1:7" ht="18" x14ac:dyDescent="0.25">
      <c r="A199" s="50">
        <v>2611</v>
      </c>
      <c r="B199" s="51" t="s">
        <v>793</v>
      </c>
      <c r="C199" s="52" t="s">
        <v>594</v>
      </c>
      <c r="D199" s="54">
        <v>75</v>
      </c>
      <c r="E199" s="27"/>
      <c r="G199" s="13">
        <f>VLOOKUP(A208,'Factura de ventas'!$B$72:$G$369,6,0)</f>
        <v>2</v>
      </c>
    </row>
    <row r="200" spans="1:7" ht="18" x14ac:dyDescent="0.25">
      <c r="A200" s="50">
        <v>2612</v>
      </c>
      <c r="B200" s="51" t="s">
        <v>794</v>
      </c>
      <c r="C200" s="52" t="s">
        <v>597</v>
      </c>
      <c r="D200" s="54">
        <v>75</v>
      </c>
      <c r="E200" s="27"/>
      <c r="G200" s="13">
        <f>VLOOKUP(A209,'Factura de ventas'!$B$72:$G$369,6,0)</f>
        <v>2</v>
      </c>
    </row>
    <row r="201" spans="1:7" ht="18" x14ac:dyDescent="0.25">
      <c r="A201" s="50">
        <v>2617</v>
      </c>
      <c r="B201" s="51" t="s">
        <v>795</v>
      </c>
      <c r="C201" s="52" t="s">
        <v>596</v>
      </c>
      <c r="D201" s="54">
        <v>140</v>
      </c>
      <c r="E201" s="27"/>
      <c r="G201" s="13">
        <f>VLOOKUP(A210,'Factura de ventas'!$B$72:$G$369,6,0)</f>
        <v>2</v>
      </c>
    </row>
    <row r="202" spans="1:7" ht="18" x14ac:dyDescent="0.25">
      <c r="A202" s="50">
        <v>2618</v>
      </c>
      <c r="B202" s="51" t="s">
        <v>796</v>
      </c>
      <c r="C202" s="52" t="s">
        <v>595</v>
      </c>
      <c r="D202" s="54">
        <v>140</v>
      </c>
      <c r="E202" s="27"/>
      <c r="G202" s="13">
        <f>VLOOKUP(A211,'Factura de ventas'!$B$72:$G$369,6,0)</f>
        <v>2</v>
      </c>
    </row>
    <row r="203" spans="1:7" ht="18" x14ac:dyDescent="0.25">
      <c r="A203" s="50">
        <v>2619</v>
      </c>
      <c r="B203" s="51" t="s">
        <v>797</v>
      </c>
      <c r="C203" s="52" t="s">
        <v>594</v>
      </c>
      <c r="D203" s="54">
        <v>140</v>
      </c>
      <c r="E203" s="27"/>
      <c r="G203" s="13">
        <f>VLOOKUP(A212,'Factura de ventas'!$B$72:$G$369,6,0)</f>
        <v>2</v>
      </c>
    </row>
    <row r="204" spans="1:7" ht="18" x14ac:dyDescent="0.25">
      <c r="A204" s="50">
        <v>2620</v>
      </c>
      <c r="B204" s="51" t="s">
        <v>798</v>
      </c>
      <c r="C204" s="52" t="s">
        <v>597</v>
      </c>
      <c r="D204" s="54">
        <v>140</v>
      </c>
      <c r="E204" s="27"/>
      <c r="G204" s="13">
        <f>VLOOKUP(A213,'Factura de ventas'!$B$72:$G$369,6,0)</f>
        <v>2</v>
      </c>
    </row>
    <row r="205" spans="1:7" ht="18" x14ac:dyDescent="0.25">
      <c r="A205" s="50">
        <v>2635</v>
      </c>
      <c r="B205" s="51" t="s">
        <v>669</v>
      </c>
      <c r="C205" s="52" t="s">
        <v>559</v>
      </c>
      <c r="D205" s="54">
        <v>180</v>
      </c>
      <c r="E205" s="27"/>
      <c r="G205" s="13">
        <f>VLOOKUP(A214,'Factura de ventas'!$B$72:$G$369,6,0)</f>
        <v>2</v>
      </c>
    </row>
    <row r="206" spans="1:7" ht="18" x14ac:dyDescent="0.25">
      <c r="A206" s="50">
        <v>2636</v>
      </c>
      <c r="B206" s="51" t="s">
        <v>670</v>
      </c>
      <c r="C206" s="52" t="s">
        <v>560</v>
      </c>
      <c r="D206" s="54">
        <v>180</v>
      </c>
      <c r="E206" s="27"/>
      <c r="G206" s="13">
        <f>VLOOKUP(A215,'Factura de ventas'!$B$72:$G$369,6,0)</f>
        <v>2</v>
      </c>
    </row>
    <row r="207" spans="1:7" ht="18" x14ac:dyDescent="0.25">
      <c r="A207" s="50">
        <v>2637</v>
      </c>
      <c r="B207" s="51" t="s">
        <v>671</v>
      </c>
      <c r="C207" s="52" t="s">
        <v>561</v>
      </c>
      <c r="D207" s="54">
        <v>180</v>
      </c>
      <c r="E207" s="27"/>
      <c r="G207" s="13">
        <f>VLOOKUP(A216,'Factura de ventas'!$B$72:$G$369,6,0)</f>
        <v>2</v>
      </c>
    </row>
    <row r="208" spans="1:7" ht="18" x14ac:dyDescent="0.25">
      <c r="A208" s="50">
        <v>5496</v>
      </c>
      <c r="B208" s="51" t="s">
        <v>874</v>
      </c>
      <c r="C208" s="52" t="s">
        <v>558</v>
      </c>
      <c r="D208" s="54">
        <v>85</v>
      </c>
      <c r="E208" s="27"/>
      <c r="G208" s="13">
        <f>VLOOKUP(A217,'Factura de ventas'!$B$72:$G$369,6,0)</f>
        <v>2</v>
      </c>
    </row>
    <row r="209" spans="1:7" ht="18" x14ac:dyDescent="0.25">
      <c r="A209" s="50">
        <v>2642</v>
      </c>
      <c r="B209" s="51" t="s">
        <v>799</v>
      </c>
      <c r="C209" s="52" t="s">
        <v>596</v>
      </c>
      <c r="D209" s="54">
        <v>155</v>
      </c>
      <c r="E209" s="27"/>
      <c r="G209" s="13">
        <f>VLOOKUP(A218,'Factura de ventas'!$B$72:$G$369,6,0)</f>
        <v>2</v>
      </c>
    </row>
    <row r="210" spans="1:7" ht="18" x14ac:dyDescent="0.25">
      <c r="A210" s="50">
        <v>2643</v>
      </c>
      <c r="B210" s="51" t="s">
        <v>800</v>
      </c>
      <c r="C210" s="52" t="s">
        <v>595</v>
      </c>
      <c r="D210" s="54">
        <v>155</v>
      </c>
      <c r="E210" s="27"/>
      <c r="G210" s="13">
        <f>VLOOKUP(A219,'Factura de ventas'!$B$72:$G$369,6,0)</f>
        <v>2</v>
      </c>
    </row>
    <row r="211" spans="1:7" ht="18" x14ac:dyDescent="0.25">
      <c r="A211" s="50">
        <v>2644</v>
      </c>
      <c r="B211" s="51" t="s">
        <v>801</v>
      </c>
      <c r="C211" s="52" t="s">
        <v>594</v>
      </c>
      <c r="D211" s="54">
        <v>155</v>
      </c>
      <c r="E211" s="27"/>
      <c r="G211" s="13">
        <f>VLOOKUP(A220,'Factura de ventas'!$B$72:$G$369,6,0)</f>
        <v>2</v>
      </c>
    </row>
    <row r="212" spans="1:7" ht="18" x14ac:dyDescent="0.25">
      <c r="A212" s="50">
        <v>2645</v>
      </c>
      <c r="B212" s="51" t="s">
        <v>802</v>
      </c>
      <c r="C212" s="52" t="s">
        <v>597</v>
      </c>
      <c r="D212" s="54">
        <v>155</v>
      </c>
      <c r="E212" s="27"/>
      <c r="G212" s="13">
        <f>VLOOKUP(A221,'Factura de ventas'!$B$72:$G$369,6,0)</f>
        <v>2</v>
      </c>
    </row>
    <row r="213" spans="1:7" ht="18" x14ac:dyDescent="0.25">
      <c r="A213" s="50">
        <v>2646</v>
      </c>
      <c r="B213" s="51" t="s">
        <v>803</v>
      </c>
      <c r="C213" s="52" t="s">
        <v>596</v>
      </c>
      <c r="D213" s="54">
        <v>165</v>
      </c>
      <c r="E213" s="27"/>
      <c r="G213" s="13">
        <f>VLOOKUP(A222,'Factura de ventas'!$B$72:$G$369,6,0)</f>
        <v>2</v>
      </c>
    </row>
    <row r="214" spans="1:7" ht="18" x14ac:dyDescent="0.25">
      <c r="A214" s="50">
        <v>2647</v>
      </c>
      <c r="B214" s="51" t="s">
        <v>804</v>
      </c>
      <c r="C214" s="52" t="s">
        <v>594</v>
      </c>
      <c r="D214" s="54">
        <v>165</v>
      </c>
      <c r="E214" s="27"/>
      <c r="G214" s="13">
        <f>VLOOKUP(A223,'Factura de ventas'!$B$72:$G$369,6,0)</f>
        <v>2</v>
      </c>
    </row>
    <row r="215" spans="1:7" ht="18" x14ac:dyDescent="0.25">
      <c r="A215" s="50">
        <v>2648</v>
      </c>
      <c r="B215" s="51" t="s">
        <v>805</v>
      </c>
      <c r="C215" s="52" t="s">
        <v>597</v>
      </c>
      <c r="D215" s="54">
        <v>165</v>
      </c>
      <c r="E215" s="27"/>
      <c r="G215" s="13">
        <f>VLOOKUP(A224,'Factura de ventas'!$B$72:$G$369,6,0)</f>
        <v>1</v>
      </c>
    </row>
    <row r="216" spans="1:7" ht="18" x14ac:dyDescent="0.25">
      <c r="A216" s="50">
        <v>2653</v>
      </c>
      <c r="B216" s="51" t="s">
        <v>806</v>
      </c>
      <c r="C216" s="52" t="s">
        <v>596</v>
      </c>
      <c r="D216" s="54">
        <v>165</v>
      </c>
      <c r="E216" s="27"/>
      <c r="G216" s="13">
        <f>VLOOKUP(A225,'Factura de ventas'!$B$72:$G$369,6,0)</f>
        <v>1</v>
      </c>
    </row>
    <row r="217" spans="1:7" ht="18" x14ac:dyDescent="0.25">
      <c r="A217" s="50">
        <v>2654</v>
      </c>
      <c r="B217" s="51" t="s">
        <v>807</v>
      </c>
      <c r="C217" s="52" t="s">
        <v>595</v>
      </c>
      <c r="D217" s="54">
        <v>165</v>
      </c>
      <c r="E217" s="27"/>
      <c r="G217" s="13">
        <f>VLOOKUP(A226,'Factura de ventas'!$B$72:$G$369,6,0)</f>
        <v>1</v>
      </c>
    </row>
    <row r="218" spans="1:7" ht="18" x14ac:dyDescent="0.25">
      <c r="A218" s="50">
        <v>2655</v>
      </c>
      <c r="B218" s="51" t="s">
        <v>808</v>
      </c>
      <c r="C218" s="52" t="s">
        <v>594</v>
      </c>
      <c r="D218" s="54">
        <v>165</v>
      </c>
      <c r="E218" s="27"/>
      <c r="G218" s="13" t="e">
        <f>VLOOKUP(A227,'Factura de ventas'!$B$72:$G$369,6,0)</f>
        <v>#N/A</v>
      </c>
    </row>
    <row r="219" spans="1:7" ht="18" x14ac:dyDescent="0.25">
      <c r="A219" s="50">
        <v>2656</v>
      </c>
      <c r="B219" s="51" t="s">
        <v>809</v>
      </c>
      <c r="C219" s="52" t="s">
        <v>597</v>
      </c>
      <c r="D219" s="54">
        <v>165</v>
      </c>
      <c r="E219" s="27"/>
      <c r="G219" s="13">
        <f>VLOOKUP(A228,'Factura de ventas'!$B$72:$G$369,6,0)</f>
        <v>1</v>
      </c>
    </row>
    <row r="220" spans="1:7" ht="18" x14ac:dyDescent="0.25">
      <c r="A220" s="50">
        <v>2658</v>
      </c>
      <c r="B220" s="51" t="s">
        <v>810</v>
      </c>
      <c r="C220" s="52" t="s">
        <v>596</v>
      </c>
      <c r="D220" s="54">
        <v>155</v>
      </c>
      <c r="E220" s="27"/>
      <c r="G220" s="13">
        <f>VLOOKUP(A229,'Factura de ventas'!$B$72:$G$369,6,0)</f>
        <v>1</v>
      </c>
    </row>
    <row r="221" spans="1:7" ht="18" x14ac:dyDescent="0.25">
      <c r="A221" s="50">
        <v>2659</v>
      </c>
      <c r="B221" s="51" t="s">
        <v>811</v>
      </c>
      <c r="C221" s="52" t="s">
        <v>595</v>
      </c>
      <c r="D221" s="54">
        <v>155</v>
      </c>
      <c r="E221" s="27"/>
      <c r="G221" s="13">
        <f>VLOOKUP(A230,'Factura de ventas'!$B$72:$G$369,6,0)</f>
        <v>1</v>
      </c>
    </row>
    <row r="222" spans="1:7" ht="18" x14ac:dyDescent="0.25">
      <c r="A222" s="50">
        <v>2660</v>
      </c>
      <c r="B222" s="51" t="s">
        <v>812</v>
      </c>
      <c r="C222" s="52" t="s">
        <v>594</v>
      </c>
      <c r="D222" s="54">
        <v>155</v>
      </c>
      <c r="E222" s="27"/>
      <c r="G222" s="13">
        <f>VLOOKUP(A231,'Factura de ventas'!$B$72:$G$369,6,0)</f>
        <v>1</v>
      </c>
    </row>
    <row r="223" spans="1:7" ht="18" x14ac:dyDescent="0.25">
      <c r="A223" s="50">
        <v>2661</v>
      </c>
      <c r="B223" s="51" t="s">
        <v>813</v>
      </c>
      <c r="C223" s="52" t="s">
        <v>597</v>
      </c>
      <c r="D223" s="54">
        <v>155</v>
      </c>
      <c r="E223" s="27"/>
      <c r="G223" s="13">
        <f>VLOOKUP(A232,'Factura de ventas'!$B$72:$G$369,6,0)</f>
        <v>1</v>
      </c>
    </row>
    <row r="224" spans="1:7" ht="18" x14ac:dyDescent="0.25">
      <c r="A224" s="50">
        <v>2681</v>
      </c>
      <c r="B224" s="51" t="s">
        <v>672</v>
      </c>
      <c r="C224" s="52" t="s">
        <v>558</v>
      </c>
      <c r="D224" s="54">
        <v>15</v>
      </c>
      <c r="E224" s="27"/>
      <c r="G224" s="13">
        <f>VLOOKUP(A233,'Factura de ventas'!$B$72:$G$369,6,0)</f>
        <v>1</v>
      </c>
    </row>
    <row r="225" spans="1:7" ht="18" x14ac:dyDescent="0.25">
      <c r="A225" s="50">
        <v>2682</v>
      </c>
      <c r="B225" s="51" t="s">
        <v>673</v>
      </c>
      <c r="C225" s="52" t="s">
        <v>558</v>
      </c>
      <c r="D225" s="54">
        <v>15</v>
      </c>
      <c r="E225" s="27"/>
      <c r="G225" s="13">
        <f>VLOOKUP(A234,'Factura de ventas'!$B$72:$G$369,6,0)</f>
        <v>1</v>
      </c>
    </row>
    <row r="226" spans="1:7" ht="18" x14ac:dyDescent="0.25">
      <c r="A226" s="50">
        <v>2709</v>
      </c>
      <c r="B226" s="51" t="s">
        <v>674</v>
      </c>
      <c r="C226" s="52" t="s">
        <v>558</v>
      </c>
      <c r="D226" s="54">
        <v>25</v>
      </c>
      <c r="E226" s="27"/>
      <c r="G226" s="13">
        <f>VLOOKUP(A235,'Factura de ventas'!$B$72:$G$369,6,0)</f>
        <v>1</v>
      </c>
    </row>
    <row r="227" spans="1:7" ht="18" x14ac:dyDescent="0.25">
      <c r="A227" s="50">
        <v>6956</v>
      </c>
      <c r="B227" s="51" t="s">
        <v>917</v>
      </c>
      <c r="C227" s="52" t="s">
        <v>558</v>
      </c>
      <c r="D227" s="54">
        <v>40</v>
      </c>
      <c r="E227" s="27"/>
      <c r="G227" s="13">
        <f>VLOOKUP(A236,'Factura de ventas'!$B$72:$G$369,6,0)</f>
        <v>1</v>
      </c>
    </row>
    <row r="228" spans="1:7" ht="18" x14ac:dyDescent="0.25">
      <c r="A228" s="50">
        <v>6068</v>
      </c>
      <c r="B228" s="51" t="s">
        <v>883</v>
      </c>
      <c r="C228" s="52" t="s">
        <v>558</v>
      </c>
      <c r="D228" s="54">
        <v>200</v>
      </c>
      <c r="E228" s="27"/>
      <c r="G228" s="13">
        <f>VLOOKUP(A237,'Factura de ventas'!$B$72:$G$369,6,0)</f>
        <v>1</v>
      </c>
    </row>
    <row r="229" spans="1:7" ht="18" x14ac:dyDescent="0.25">
      <c r="A229" s="50">
        <v>2734</v>
      </c>
      <c r="B229" s="51" t="s">
        <v>675</v>
      </c>
      <c r="C229" s="52" t="s">
        <v>558</v>
      </c>
      <c r="D229" s="54">
        <v>310</v>
      </c>
      <c r="E229" s="27"/>
      <c r="G229" s="13">
        <f>VLOOKUP(A238,'Factura de ventas'!$B$72:$G$369,6,0)</f>
        <v>1</v>
      </c>
    </row>
    <row r="230" spans="1:7" ht="18" x14ac:dyDescent="0.25">
      <c r="A230" s="50">
        <v>2573</v>
      </c>
      <c r="B230" s="51" t="s">
        <v>668</v>
      </c>
      <c r="C230" s="52" t="s">
        <v>558</v>
      </c>
      <c r="D230" s="54">
        <v>50</v>
      </c>
      <c r="E230" s="27"/>
      <c r="G230" s="13">
        <f>VLOOKUP(A239,'Factura de ventas'!$B$72:$G$369,6,0)</f>
        <v>1</v>
      </c>
    </row>
    <row r="231" spans="1:7" ht="18" x14ac:dyDescent="0.25">
      <c r="A231" s="50">
        <v>5709</v>
      </c>
      <c r="B231" s="51" t="s">
        <v>876</v>
      </c>
      <c r="C231" s="52" t="s">
        <v>558</v>
      </c>
      <c r="D231" s="54">
        <v>200</v>
      </c>
      <c r="E231" s="27"/>
      <c r="G231" s="13">
        <f>VLOOKUP(A240,'Factura de ventas'!$B$72:$G$369,6,0)</f>
        <v>2</v>
      </c>
    </row>
    <row r="232" spans="1:7" ht="18" x14ac:dyDescent="0.25">
      <c r="A232" s="50">
        <v>5710</v>
      </c>
      <c r="B232" s="51" t="s">
        <v>877</v>
      </c>
      <c r="C232" s="52" t="s">
        <v>558</v>
      </c>
      <c r="D232" s="54">
        <v>200</v>
      </c>
      <c r="E232" s="27"/>
      <c r="G232" s="13">
        <f>VLOOKUP(A241,'Factura de ventas'!$B$72:$G$369,6,0)</f>
        <v>2</v>
      </c>
    </row>
    <row r="233" spans="1:7" ht="18" x14ac:dyDescent="0.25">
      <c r="A233" s="50">
        <v>5708</v>
      </c>
      <c r="B233" s="51" t="s">
        <v>875</v>
      </c>
      <c r="C233" s="52" t="s">
        <v>558</v>
      </c>
      <c r="D233" s="54">
        <v>180</v>
      </c>
      <c r="E233" s="27"/>
      <c r="G233" s="13">
        <f>VLOOKUP(A242,'Factura de ventas'!$B$72:$G$369,6,0)</f>
        <v>2</v>
      </c>
    </row>
    <row r="234" spans="1:7" ht="18" x14ac:dyDescent="0.25">
      <c r="A234" s="50">
        <v>5711</v>
      </c>
      <c r="B234" s="51" t="s">
        <v>878</v>
      </c>
      <c r="C234" s="52" t="s">
        <v>558</v>
      </c>
      <c r="D234" s="54">
        <v>180</v>
      </c>
      <c r="E234" s="27"/>
      <c r="G234" s="13">
        <f>VLOOKUP(A243,'Factura de ventas'!$B$72:$G$369,6,0)</f>
        <v>2</v>
      </c>
    </row>
    <row r="235" spans="1:7" ht="18" x14ac:dyDescent="0.25">
      <c r="A235" s="50">
        <v>2764</v>
      </c>
      <c r="B235" s="51" t="s">
        <v>676</v>
      </c>
      <c r="C235" s="52" t="s">
        <v>558</v>
      </c>
      <c r="D235" s="54">
        <v>350</v>
      </c>
      <c r="E235" s="27"/>
      <c r="G235" s="13">
        <f>VLOOKUP(A244,'Factura de ventas'!$B$72:$G$369,6,0)</f>
        <v>2</v>
      </c>
    </row>
    <row r="236" spans="1:7" ht="18" x14ac:dyDescent="0.25">
      <c r="A236" s="50">
        <v>2765</v>
      </c>
      <c r="B236" s="51" t="s">
        <v>814</v>
      </c>
      <c r="C236" s="52" t="s">
        <v>558</v>
      </c>
      <c r="D236" s="54">
        <v>350</v>
      </c>
      <c r="E236" s="27"/>
      <c r="G236" s="13">
        <f>VLOOKUP(A245,'Factura de ventas'!$B$72:$G$369,6,0)</f>
        <v>2</v>
      </c>
    </row>
    <row r="237" spans="1:7" ht="18" x14ac:dyDescent="0.25">
      <c r="A237" s="50">
        <v>2766</v>
      </c>
      <c r="B237" s="51" t="s">
        <v>815</v>
      </c>
      <c r="C237" s="52" t="s">
        <v>558</v>
      </c>
      <c r="D237" s="54">
        <v>350</v>
      </c>
      <c r="E237" s="27"/>
      <c r="G237" s="13">
        <f>VLOOKUP(A246,'Factura de ventas'!$B$72:$G$369,6,0)</f>
        <v>2</v>
      </c>
    </row>
    <row r="238" spans="1:7" ht="18" x14ac:dyDescent="0.25">
      <c r="A238" s="50">
        <v>2767</v>
      </c>
      <c r="B238" s="51" t="s">
        <v>816</v>
      </c>
      <c r="C238" s="52" t="s">
        <v>558</v>
      </c>
      <c r="D238" s="54">
        <v>350</v>
      </c>
      <c r="E238" s="27"/>
      <c r="G238" s="13">
        <f>VLOOKUP(A247,'Factura de ventas'!$B$72:$G$369,6,0)</f>
        <v>2</v>
      </c>
    </row>
    <row r="239" spans="1:7" ht="18" x14ac:dyDescent="0.25">
      <c r="A239" s="50">
        <v>2768</v>
      </c>
      <c r="B239" s="51" t="s">
        <v>817</v>
      </c>
      <c r="C239" s="52" t="s">
        <v>558</v>
      </c>
      <c r="D239" s="54">
        <v>350</v>
      </c>
      <c r="E239" s="27"/>
      <c r="G239" s="13">
        <f>VLOOKUP(A248,'Factura de ventas'!$B$72:$G$369,6,0)</f>
        <v>2</v>
      </c>
    </row>
    <row r="240" spans="1:7" ht="18" x14ac:dyDescent="0.25">
      <c r="A240" s="50">
        <v>2893</v>
      </c>
      <c r="B240" s="51" t="s">
        <v>677</v>
      </c>
      <c r="C240" s="52" t="s">
        <v>577</v>
      </c>
      <c r="D240" s="54">
        <v>690</v>
      </c>
      <c r="E240" s="27"/>
      <c r="G240" s="13">
        <f>VLOOKUP(A249,'Factura de ventas'!$B$72:$G$369,6,0)</f>
        <v>2</v>
      </c>
    </row>
    <row r="241" spans="1:7" ht="18" x14ac:dyDescent="0.25">
      <c r="A241" s="50">
        <v>2894</v>
      </c>
      <c r="B241" s="51" t="s">
        <v>678</v>
      </c>
      <c r="C241" s="52" t="s">
        <v>578</v>
      </c>
      <c r="D241" s="54">
        <v>690</v>
      </c>
      <c r="E241" s="27"/>
      <c r="G241" s="13">
        <f>VLOOKUP(A250,'Factura de ventas'!$B$72:$G$369,6,0)</f>
        <v>2</v>
      </c>
    </row>
    <row r="242" spans="1:7" ht="18" x14ac:dyDescent="0.25">
      <c r="A242" s="50">
        <v>2895</v>
      </c>
      <c r="B242" s="51" t="s">
        <v>679</v>
      </c>
      <c r="C242" s="52" t="s">
        <v>570</v>
      </c>
      <c r="D242" s="54">
        <v>690</v>
      </c>
      <c r="E242" s="27"/>
      <c r="G242" s="13" t="e">
        <f>VLOOKUP(A251,'Factura de ventas'!$B$72:$G$369,6,0)</f>
        <v>#N/A</v>
      </c>
    </row>
    <row r="243" spans="1:7" ht="18" x14ac:dyDescent="0.25">
      <c r="A243" s="50">
        <v>2896</v>
      </c>
      <c r="B243" s="51" t="s">
        <v>680</v>
      </c>
      <c r="C243" s="52" t="s">
        <v>562</v>
      </c>
      <c r="D243" s="54">
        <v>690</v>
      </c>
      <c r="E243" s="27"/>
      <c r="G243" s="13">
        <f>VLOOKUP(A252,'Factura de ventas'!$B$72:$G$369,6,0)</f>
        <v>2</v>
      </c>
    </row>
    <row r="244" spans="1:7" ht="18" x14ac:dyDescent="0.25">
      <c r="A244" s="50">
        <v>2897</v>
      </c>
      <c r="B244" s="51" t="s">
        <v>681</v>
      </c>
      <c r="C244" s="52" t="s">
        <v>563</v>
      </c>
      <c r="D244" s="54">
        <v>690</v>
      </c>
      <c r="E244" s="27"/>
      <c r="G244" s="13">
        <f>VLOOKUP(A253,'Factura de ventas'!$B$72:$G$369,6,0)</f>
        <v>2</v>
      </c>
    </row>
    <row r="245" spans="1:7" ht="18" x14ac:dyDescent="0.25">
      <c r="A245" s="50">
        <v>2898</v>
      </c>
      <c r="B245" s="51" t="s">
        <v>682</v>
      </c>
      <c r="C245" s="52" t="s">
        <v>564</v>
      </c>
      <c r="D245" s="54">
        <v>690</v>
      </c>
      <c r="E245" s="27"/>
      <c r="G245" s="13">
        <f>VLOOKUP(A254,'Factura de ventas'!$B$72:$G$369,6,0)</f>
        <v>2</v>
      </c>
    </row>
    <row r="246" spans="1:7" ht="18" x14ac:dyDescent="0.25">
      <c r="A246" s="50">
        <v>2899</v>
      </c>
      <c r="B246" s="51" t="s">
        <v>683</v>
      </c>
      <c r="C246" s="52" t="s">
        <v>565</v>
      </c>
      <c r="D246" s="54">
        <v>690</v>
      </c>
      <c r="E246" s="27"/>
      <c r="G246" s="13">
        <f>VLOOKUP(A255,'Factura de ventas'!$B$72:$G$369,6,0)</f>
        <v>2</v>
      </c>
    </row>
    <row r="247" spans="1:7" ht="18" x14ac:dyDescent="0.25">
      <c r="A247" s="50">
        <v>2900</v>
      </c>
      <c r="B247" s="51" t="s">
        <v>684</v>
      </c>
      <c r="C247" s="52" t="s">
        <v>566</v>
      </c>
      <c r="D247" s="54">
        <v>690</v>
      </c>
      <c r="E247" s="27"/>
      <c r="G247" s="13">
        <f>VLOOKUP(A256,'Factura de ventas'!$B$72:$G$369,6,0)</f>
        <v>2</v>
      </c>
    </row>
    <row r="248" spans="1:7" ht="18" x14ac:dyDescent="0.25">
      <c r="A248" s="50">
        <v>2901</v>
      </c>
      <c r="B248" s="51" t="s">
        <v>685</v>
      </c>
      <c r="C248" s="52" t="s">
        <v>567</v>
      </c>
      <c r="D248" s="54">
        <v>690</v>
      </c>
      <c r="E248" s="27"/>
      <c r="G248" s="13">
        <f>VLOOKUP(A257,'Factura de ventas'!$B$72:$G$369,6,0)</f>
        <v>2</v>
      </c>
    </row>
    <row r="249" spans="1:7" ht="18" x14ac:dyDescent="0.25">
      <c r="A249" s="50">
        <v>2902</v>
      </c>
      <c r="B249" s="51" t="s">
        <v>686</v>
      </c>
      <c r="C249" s="52" t="s">
        <v>568</v>
      </c>
      <c r="D249" s="54">
        <v>690</v>
      </c>
      <c r="E249" s="27"/>
      <c r="G249" s="13">
        <f>VLOOKUP(A258,'Factura de ventas'!$B$72:$G$369,6,0)</f>
        <v>2</v>
      </c>
    </row>
    <row r="250" spans="1:7" ht="18" x14ac:dyDescent="0.25">
      <c r="A250" s="50">
        <v>2903</v>
      </c>
      <c r="B250" s="51" t="s">
        <v>687</v>
      </c>
      <c r="C250" s="52" t="s">
        <v>569</v>
      </c>
      <c r="D250" s="54">
        <v>690</v>
      </c>
      <c r="E250" s="27"/>
      <c r="G250" s="13">
        <f>VLOOKUP(A259,'Factura de ventas'!$B$72:$G$369,6,0)</f>
        <v>2</v>
      </c>
    </row>
    <row r="251" spans="1:7" ht="18" x14ac:dyDescent="0.25">
      <c r="A251" s="50">
        <v>2921</v>
      </c>
      <c r="B251" s="51" t="s">
        <v>818</v>
      </c>
      <c r="C251" s="52" t="s">
        <v>558</v>
      </c>
      <c r="D251" s="54">
        <v>15</v>
      </c>
      <c r="E251" s="27"/>
      <c r="G251" s="13">
        <f>VLOOKUP(A260,'Factura de ventas'!$B$72:$G$369,6,0)</f>
        <v>2</v>
      </c>
    </row>
    <row r="252" spans="1:7" ht="18" x14ac:dyDescent="0.25">
      <c r="A252" s="50">
        <v>2925</v>
      </c>
      <c r="B252" s="51" t="s">
        <v>819</v>
      </c>
      <c r="C252" s="52" t="s">
        <v>558</v>
      </c>
      <c r="D252" s="54">
        <v>15</v>
      </c>
      <c r="E252" s="27"/>
      <c r="G252" s="13">
        <f>VLOOKUP(A261,'Factura de ventas'!$B$72:$G$369,6,0)</f>
        <v>2</v>
      </c>
    </row>
    <row r="253" spans="1:7" ht="18" x14ac:dyDescent="0.25">
      <c r="A253" s="50">
        <v>2926</v>
      </c>
      <c r="B253" s="51" t="s">
        <v>688</v>
      </c>
      <c r="C253" s="52" t="s">
        <v>558</v>
      </c>
      <c r="D253" s="54">
        <v>15</v>
      </c>
      <c r="E253" s="27"/>
      <c r="G253" s="13">
        <f>VLOOKUP(A262,'Factura de ventas'!$B$72:$G$369,6,0)</f>
        <v>2</v>
      </c>
    </row>
    <row r="254" spans="1:7" ht="18" x14ac:dyDescent="0.25">
      <c r="A254" s="50">
        <v>2927</v>
      </c>
      <c r="B254" s="51" t="s">
        <v>689</v>
      </c>
      <c r="C254" s="52" t="s">
        <v>558</v>
      </c>
      <c r="D254" s="54">
        <v>15</v>
      </c>
      <c r="E254" s="27"/>
      <c r="G254" s="13">
        <f>VLOOKUP(A263,'Factura de ventas'!$B$72:$G$369,6,0)</f>
        <v>2</v>
      </c>
    </row>
    <row r="255" spans="1:7" ht="18" x14ac:dyDescent="0.25">
      <c r="A255" s="50">
        <v>2928</v>
      </c>
      <c r="B255" s="51" t="s">
        <v>820</v>
      </c>
      <c r="C255" s="52" t="s">
        <v>558</v>
      </c>
      <c r="D255" s="54">
        <v>15</v>
      </c>
      <c r="E255" s="27"/>
      <c r="G255" s="13">
        <f>VLOOKUP(A264,'Factura de ventas'!$B$72:$G$369,6,0)</f>
        <v>2</v>
      </c>
    </row>
    <row r="256" spans="1:7" ht="18" x14ac:dyDescent="0.25">
      <c r="A256" s="50">
        <v>2929</v>
      </c>
      <c r="B256" s="51" t="s">
        <v>690</v>
      </c>
      <c r="C256" s="52" t="s">
        <v>558</v>
      </c>
      <c r="D256" s="54">
        <v>15</v>
      </c>
      <c r="E256" s="27"/>
      <c r="G256" s="13">
        <f>VLOOKUP(A265,'Factura de ventas'!$B$72:$G$369,6,0)</f>
        <v>2</v>
      </c>
    </row>
    <row r="257" spans="1:7" ht="18" x14ac:dyDescent="0.25">
      <c r="A257" s="50">
        <v>2936</v>
      </c>
      <c r="B257" s="51" t="s">
        <v>691</v>
      </c>
      <c r="C257" s="52" t="s">
        <v>558</v>
      </c>
      <c r="D257" s="54">
        <v>15</v>
      </c>
      <c r="E257" s="27"/>
      <c r="G257" s="13">
        <f>VLOOKUP(A266,'Factura de ventas'!$B$72:$G$369,6,0)</f>
        <v>2</v>
      </c>
    </row>
    <row r="258" spans="1:7" ht="18" x14ac:dyDescent="0.25">
      <c r="A258" s="50">
        <v>2938</v>
      </c>
      <c r="B258" s="51" t="s">
        <v>692</v>
      </c>
      <c r="C258" s="52" t="s">
        <v>558</v>
      </c>
      <c r="D258" s="54">
        <v>15</v>
      </c>
      <c r="E258" s="27"/>
      <c r="G258" s="13">
        <f>VLOOKUP(A267,'Factura de ventas'!$B$72:$G$369,6,0)</f>
        <v>2</v>
      </c>
    </row>
    <row r="259" spans="1:7" ht="18" x14ac:dyDescent="0.25">
      <c r="A259" s="50">
        <v>2939</v>
      </c>
      <c r="B259" s="51" t="s">
        <v>821</v>
      </c>
      <c r="C259" s="52" t="s">
        <v>558</v>
      </c>
      <c r="D259" s="54">
        <v>50</v>
      </c>
      <c r="E259" s="27"/>
      <c r="G259" s="13">
        <f>VLOOKUP(A268,'Factura de ventas'!$B$72:$G$369,6,0)</f>
        <v>2</v>
      </c>
    </row>
    <row r="260" spans="1:7" ht="18" x14ac:dyDescent="0.25">
      <c r="A260" s="50">
        <v>2940</v>
      </c>
      <c r="B260" s="51" t="s">
        <v>822</v>
      </c>
      <c r="C260" s="52" t="s">
        <v>558</v>
      </c>
      <c r="D260" s="54">
        <v>50</v>
      </c>
      <c r="E260" s="27"/>
      <c r="G260" s="13">
        <f>VLOOKUP(A269,'Factura de ventas'!$B$72:$G$369,6,0)</f>
        <v>2</v>
      </c>
    </row>
    <row r="261" spans="1:7" ht="18" x14ac:dyDescent="0.25">
      <c r="A261" s="50">
        <v>2951</v>
      </c>
      <c r="B261" s="51" t="s">
        <v>828</v>
      </c>
      <c r="C261" s="52" t="s">
        <v>558</v>
      </c>
      <c r="D261" s="54">
        <v>50</v>
      </c>
      <c r="E261" s="27"/>
      <c r="G261" s="13">
        <f>VLOOKUP(A270,'Factura de ventas'!$B$72:$G$369,6,0)</f>
        <v>2</v>
      </c>
    </row>
    <row r="262" spans="1:7" ht="18" x14ac:dyDescent="0.25">
      <c r="A262" s="50">
        <v>2942</v>
      </c>
      <c r="B262" s="51" t="s">
        <v>823</v>
      </c>
      <c r="C262" s="52" t="s">
        <v>558</v>
      </c>
      <c r="D262" s="54">
        <v>15</v>
      </c>
      <c r="E262" s="27"/>
      <c r="G262" s="13">
        <f>VLOOKUP(A271,'Factura de ventas'!$B$72:$G$369,6,0)</f>
        <v>2</v>
      </c>
    </row>
    <row r="263" spans="1:7" ht="18" x14ac:dyDescent="0.25">
      <c r="A263" s="50">
        <v>2943</v>
      </c>
      <c r="B263" s="51" t="s">
        <v>824</v>
      </c>
      <c r="C263" s="52" t="s">
        <v>558</v>
      </c>
      <c r="D263" s="54">
        <v>15</v>
      </c>
      <c r="E263" s="27"/>
      <c r="G263" s="13">
        <f>VLOOKUP(A272,'Factura de ventas'!$B$72:$G$369,6,0)</f>
        <v>2</v>
      </c>
    </row>
    <row r="264" spans="1:7" ht="18" x14ac:dyDescent="0.25">
      <c r="A264" s="50">
        <v>2944</v>
      </c>
      <c r="B264" s="51" t="s">
        <v>825</v>
      </c>
      <c r="C264" s="52" t="s">
        <v>558</v>
      </c>
      <c r="D264" s="54">
        <v>15</v>
      </c>
      <c r="E264" s="27"/>
      <c r="G264" s="13">
        <f>VLOOKUP(A273,'Factura de ventas'!$B$72:$G$369,6,0)</f>
        <v>2</v>
      </c>
    </row>
    <row r="265" spans="1:7" ht="18" x14ac:dyDescent="0.25">
      <c r="A265" s="50">
        <v>2945</v>
      </c>
      <c r="B265" s="51" t="s">
        <v>826</v>
      </c>
      <c r="C265" s="52" t="s">
        <v>558</v>
      </c>
      <c r="D265" s="54">
        <v>15</v>
      </c>
      <c r="E265" s="27"/>
    </row>
    <row r="266" spans="1:7" ht="18" x14ac:dyDescent="0.25">
      <c r="A266" s="50">
        <v>2946</v>
      </c>
      <c r="B266" s="51" t="s">
        <v>827</v>
      </c>
      <c r="C266" s="52" t="s">
        <v>558</v>
      </c>
      <c r="D266" s="54">
        <v>15</v>
      </c>
      <c r="E266" s="27"/>
      <c r="G266" s="13">
        <f>VLOOKUP(A275,'Factura de ventas'!$B$72:$G$369,6,0)</f>
        <v>2</v>
      </c>
    </row>
    <row r="267" spans="1:7" ht="18" x14ac:dyDescent="0.25">
      <c r="A267" s="50">
        <v>6204</v>
      </c>
      <c r="B267" s="51" t="s">
        <v>609</v>
      </c>
      <c r="C267" s="52" t="s">
        <v>558</v>
      </c>
      <c r="D267" s="54">
        <v>50</v>
      </c>
      <c r="E267" s="27"/>
      <c r="G267" s="13">
        <f>VLOOKUP(A276,'Factura de ventas'!$B$72:$G$369,6,0)</f>
        <v>2</v>
      </c>
    </row>
    <row r="268" spans="1:7" ht="18" x14ac:dyDescent="0.25">
      <c r="A268" s="50">
        <v>2951</v>
      </c>
      <c r="B268" s="51" t="s">
        <v>693</v>
      </c>
      <c r="C268" s="52" t="s">
        <v>558</v>
      </c>
      <c r="D268" s="54">
        <v>50</v>
      </c>
      <c r="E268" s="27"/>
      <c r="G268" s="13">
        <f>VLOOKUP(A277,'Factura de ventas'!$B$72:$G$369,6,0)</f>
        <v>2</v>
      </c>
    </row>
    <row r="269" spans="1:7" ht="18" x14ac:dyDescent="0.25">
      <c r="A269" s="50">
        <v>5747</v>
      </c>
      <c r="B269" s="51" t="s">
        <v>604</v>
      </c>
      <c r="C269" s="52" t="s">
        <v>558</v>
      </c>
      <c r="D269" s="54">
        <v>25</v>
      </c>
      <c r="E269" s="27"/>
      <c r="G269" s="13">
        <f>VLOOKUP(A278,'Factura de ventas'!$B$72:$G$369,6,0)</f>
        <v>2</v>
      </c>
    </row>
    <row r="270" spans="1:7" ht="18" x14ac:dyDescent="0.25">
      <c r="A270" s="50">
        <v>5746</v>
      </c>
      <c r="B270" s="51" t="s">
        <v>916</v>
      </c>
      <c r="C270" s="52" t="s">
        <v>558</v>
      </c>
      <c r="D270" s="54">
        <v>25</v>
      </c>
      <c r="E270" s="27"/>
      <c r="G270" s="13">
        <f>VLOOKUP(A279,'Factura de ventas'!$B$72:$G$369,6,0)</f>
        <v>2</v>
      </c>
    </row>
    <row r="271" spans="1:7" ht="18" x14ac:dyDescent="0.25">
      <c r="A271" s="50">
        <v>5763</v>
      </c>
      <c r="B271" s="51" t="s">
        <v>882</v>
      </c>
      <c r="C271" s="52" t="s">
        <v>558</v>
      </c>
      <c r="D271" s="54">
        <v>25</v>
      </c>
      <c r="E271" s="27"/>
      <c r="G271" s="13">
        <f>VLOOKUP(A280,'Factura de ventas'!$B$72:$G$369,6,0)</f>
        <v>2</v>
      </c>
    </row>
    <row r="272" spans="1:7" ht="18" x14ac:dyDescent="0.25">
      <c r="A272" s="50">
        <v>5748</v>
      </c>
      <c r="B272" s="51" t="s">
        <v>881</v>
      </c>
      <c r="C272" s="52" t="s">
        <v>558</v>
      </c>
      <c r="D272" s="54">
        <v>115</v>
      </c>
      <c r="E272" s="27"/>
      <c r="G272" s="13">
        <f>VLOOKUP(A281,'Factura de ventas'!$B$72:$G$369,6,0)</f>
        <v>2</v>
      </c>
    </row>
    <row r="273" spans="1:7" ht="18" x14ac:dyDescent="0.25">
      <c r="A273" s="50">
        <v>2952</v>
      </c>
      <c r="B273" s="51" t="s">
        <v>829</v>
      </c>
      <c r="C273" s="52" t="s">
        <v>558</v>
      </c>
      <c r="D273" s="54">
        <v>115</v>
      </c>
      <c r="E273" s="27"/>
      <c r="G273" s="13">
        <f>VLOOKUP(A282,'Factura de ventas'!$B$72:$G$369,6,0)</f>
        <v>2</v>
      </c>
    </row>
    <row r="274" spans="1:7" ht="18" x14ac:dyDescent="0.25">
      <c r="A274" s="50">
        <v>5730</v>
      </c>
      <c r="B274" s="51" t="s">
        <v>880</v>
      </c>
      <c r="C274" s="52" t="s">
        <v>558</v>
      </c>
      <c r="D274" s="54">
        <v>130</v>
      </c>
      <c r="E274" s="27"/>
      <c r="G274" s="13">
        <f>VLOOKUP(A283,'Factura de ventas'!$B$72:$G$369,6,0)</f>
        <v>2</v>
      </c>
    </row>
    <row r="275" spans="1:7" ht="18" x14ac:dyDescent="0.25">
      <c r="A275" s="50">
        <v>6144</v>
      </c>
      <c r="B275" s="51" t="s">
        <v>886</v>
      </c>
      <c r="C275" s="52" t="s">
        <v>558</v>
      </c>
      <c r="D275" s="54">
        <v>115</v>
      </c>
      <c r="E275" s="27"/>
      <c r="G275" s="13">
        <f>VLOOKUP(A284,'Factura de ventas'!$B$72:$G$369,6,0)</f>
        <v>2</v>
      </c>
    </row>
    <row r="276" spans="1:7" ht="18" x14ac:dyDescent="0.25">
      <c r="A276" s="50">
        <v>5729</v>
      </c>
      <c r="B276" s="51" t="s">
        <v>603</v>
      </c>
      <c r="C276" s="52" t="s">
        <v>558</v>
      </c>
      <c r="D276" s="54">
        <v>35</v>
      </c>
      <c r="E276" s="27"/>
      <c r="G276" s="13">
        <f>VLOOKUP(A285,'Factura de ventas'!$B$72:$G$369,6,0)</f>
        <v>2</v>
      </c>
    </row>
    <row r="277" spans="1:7" ht="18" x14ac:dyDescent="0.25">
      <c r="A277" s="50">
        <v>6143</v>
      </c>
      <c r="B277" s="51" t="s">
        <v>885</v>
      </c>
      <c r="C277" s="52" t="s">
        <v>558</v>
      </c>
      <c r="D277" s="54">
        <v>25</v>
      </c>
      <c r="E277" s="27"/>
      <c r="G277" s="13" t="e">
        <f>VLOOKUP(A286,'Factura de ventas'!$B$72:$G$369,6,0)</f>
        <v>#N/A</v>
      </c>
    </row>
    <row r="278" spans="1:7" ht="18" x14ac:dyDescent="0.25">
      <c r="A278" s="50">
        <v>6149</v>
      </c>
      <c r="B278" s="51" t="s">
        <v>887</v>
      </c>
      <c r="C278" s="52" t="s">
        <v>558</v>
      </c>
      <c r="D278" s="54">
        <v>25</v>
      </c>
      <c r="E278" s="27"/>
      <c r="G278" s="13">
        <f>VLOOKUP(A287,'Factura de ventas'!$B$72:$G$369,6,0)</f>
        <v>1</v>
      </c>
    </row>
    <row r="279" spans="1:7" ht="18" x14ac:dyDescent="0.25">
      <c r="A279" s="50">
        <v>4979</v>
      </c>
      <c r="B279" s="51" t="s">
        <v>720</v>
      </c>
      <c r="C279" s="52" t="s">
        <v>558</v>
      </c>
      <c r="D279" s="54">
        <v>25</v>
      </c>
      <c r="E279" s="27"/>
      <c r="G279" s="13" t="e">
        <f>VLOOKUP(#REF!,'Factura de ventas'!$B$72:$G$369,6,0)</f>
        <v>#REF!</v>
      </c>
    </row>
    <row r="280" spans="1:7" ht="18" x14ac:dyDescent="0.25">
      <c r="A280" s="50">
        <v>4982</v>
      </c>
      <c r="B280" s="51" t="s">
        <v>843</v>
      </c>
      <c r="C280" s="52" t="s">
        <v>558</v>
      </c>
      <c r="D280" s="54">
        <v>115</v>
      </c>
      <c r="E280" s="27"/>
      <c r="G280" s="13" t="e">
        <f>VLOOKUP(#REF!,'Factura de ventas'!$B$72:$G$369,6,0)</f>
        <v>#REF!</v>
      </c>
    </row>
    <row r="281" spans="1:7" ht="18" x14ac:dyDescent="0.25">
      <c r="A281" s="50">
        <v>4983</v>
      </c>
      <c r="B281" s="51" t="s">
        <v>844</v>
      </c>
      <c r="C281" s="52" t="s">
        <v>558</v>
      </c>
      <c r="D281" s="54">
        <v>115</v>
      </c>
      <c r="E281" s="27"/>
      <c r="G281" s="13" t="e">
        <f>VLOOKUP(#REF!,'Factura de ventas'!$B$72:$G$369,6,0)</f>
        <v>#REF!</v>
      </c>
    </row>
    <row r="282" spans="1:7" ht="18" x14ac:dyDescent="0.25">
      <c r="A282" s="50">
        <v>4985</v>
      </c>
      <c r="B282" s="51" t="s">
        <v>845</v>
      </c>
      <c r="C282" s="52" t="s">
        <v>558</v>
      </c>
      <c r="D282" s="54">
        <v>115</v>
      </c>
      <c r="E282" s="27"/>
      <c r="G282" s="13" t="e">
        <f>VLOOKUP(#REF!,'Factura de ventas'!$B$72:$G$369,6,0)</f>
        <v>#REF!</v>
      </c>
    </row>
    <row r="283" spans="1:7" ht="18" x14ac:dyDescent="0.25">
      <c r="A283" s="50">
        <v>4978</v>
      </c>
      <c r="B283" s="51" t="s">
        <v>840</v>
      </c>
      <c r="C283" s="52" t="s">
        <v>558</v>
      </c>
      <c r="D283" s="54">
        <v>25</v>
      </c>
      <c r="E283" s="27"/>
      <c r="G283" s="13" t="e">
        <f>VLOOKUP(#REF!,'Factura de ventas'!$B$72:$G$369,6,0)</f>
        <v>#REF!</v>
      </c>
    </row>
    <row r="284" spans="1:7" ht="18" x14ac:dyDescent="0.25">
      <c r="A284" s="50">
        <v>4981</v>
      </c>
      <c r="B284" s="51" t="s">
        <v>842</v>
      </c>
      <c r="C284" s="52" t="s">
        <v>558</v>
      </c>
      <c r="D284" s="54">
        <v>25</v>
      </c>
      <c r="E284" s="27"/>
      <c r="G284" s="13">
        <f>VLOOKUP(A288,'Factura de ventas'!$B$72:$G$369,6,0)</f>
        <v>2</v>
      </c>
    </row>
    <row r="285" spans="1:7" ht="18" x14ac:dyDescent="0.25">
      <c r="A285" s="50">
        <v>4980</v>
      </c>
      <c r="B285" s="51" t="s">
        <v>841</v>
      </c>
      <c r="C285" s="52" t="s">
        <v>558</v>
      </c>
      <c r="D285" s="54">
        <v>25</v>
      </c>
      <c r="E285" s="27"/>
      <c r="G285" s="13" t="e">
        <f>VLOOKUP(#REF!,'Factura de ventas'!$B$72:$G$369,6,0)</f>
        <v>#REF!</v>
      </c>
    </row>
    <row r="286" spans="1:7" ht="18" x14ac:dyDescent="0.25">
      <c r="A286" s="50">
        <v>6964</v>
      </c>
      <c r="B286" s="51" t="s">
        <v>924</v>
      </c>
      <c r="C286" s="52" t="s">
        <v>558</v>
      </c>
      <c r="D286" s="54">
        <v>30</v>
      </c>
      <c r="E286" s="27"/>
      <c r="G286" s="13" t="e">
        <f>VLOOKUP(#REF!,'Factura de ventas'!$B$72:$G$369,6,0)</f>
        <v>#REF!</v>
      </c>
    </row>
    <row r="287" spans="1:7" ht="18" x14ac:dyDescent="0.25">
      <c r="A287" s="50">
        <v>6874</v>
      </c>
      <c r="B287" s="51" t="s">
        <v>891</v>
      </c>
      <c r="C287" s="52" t="s">
        <v>558</v>
      </c>
      <c r="D287" s="54">
        <v>30</v>
      </c>
      <c r="E287" s="27"/>
    </row>
    <row r="288" spans="1:7" ht="18" x14ac:dyDescent="0.25">
      <c r="A288" s="50">
        <v>6190</v>
      </c>
      <c r="B288" s="51" t="s">
        <v>914</v>
      </c>
      <c r="C288" s="52" t="s">
        <v>558</v>
      </c>
      <c r="D288" s="54">
        <v>350</v>
      </c>
      <c r="E288" s="27"/>
      <c r="G288" s="13">
        <f>VLOOKUP(A293,'Factura de ventas'!$B$72:$G$369,6,0)</f>
        <v>2</v>
      </c>
    </row>
    <row r="289" spans="1:7" ht="18" x14ac:dyDescent="0.25">
      <c r="A289" s="50">
        <v>3193</v>
      </c>
      <c r="B289" s="51" t="s">
        <v>832</v>
      </c>
      <c r="C289" s="52" t="s">
        <v>596</v>
      </c>
      <c r="D289" s="54">
        <v>350</v>
      </c>
      <c r="E289" s="27"/>
      <c r="G289" s="13">
        <f>VLOOKUP(A298,'Factura de ventas'!$B$72:$G$369,6,0)</f>
        <v>1</v>
      </c>
    </row>
    <row r="290" spans="1:7" ht="18" x14ac:dyDescent="0.25">
      <c r="A290" s="50">
        <v>3194</v>
      </c>
      <c r="B290" s="51" t="s">
        <v>833</v>
      </c>
      <c r="C290" s="52" t="s">
        <v>598</v>
      </c>
      <c r="D290" s="54">
        <v>350</v>
      </c>
      <c r="E290" s="27"/>
      <c r="G290" s="13" t="e">
        <f>VLOOKUP(A299,'Factura de ventas'!$B$72:$G$369,6,0)</f>
        <v>#N/A</v>
      </c>
    </row>
    <row r="291" spans="1:7" ht="18" x14ac:dyDescent="0.25">
      <c r="A291" s="50">
        <v>3195</v>
      </c>
      <c r="B291" s="51" t="s">
        <v>834</v>
      </c>
      <c r="C291" s="52" t="s">
        <v>595</v>
      </c>
      <c r="D291" s="54">
        <v>350</v>
      </c>
      <c r="E291" s="27"/>
      <c r="G291" s="13">
        <f>VLOOKUP(A300,'Factura de ventas'!$B$72:$G$369,6,0)</f>
        <v>2</v>
      </c>
    </row>
    <row r="292" spans="1:7" ht="18" x14ac:dyDescent="0.25">
      <c r="A292" s="50">
        <v>3196</v>
      </c>
      <c r="B292" s="51" t="s">
        <v>835</v>
      </c>
      <c r="C292" s="52" t="s">
        <v>594</v>
      </c>
      <c r="D292" s="54">
        <v>350</v>
      </c>
      <c r="E292" s="27"/>
      <c r="G292" s="13">
        <f>VLOOKUP(A301,'Factura de ventas'!$B$72:$G$369,6,0)</f>
        <v>2</v>
      </c>
    </row>
    <row r="293" spans="1:7" ht="18" x14ac:dyDescent="0.25">
      <c r="A293" s="50">
        <v>3197</v>
      </c>
      <c r="B293" s="51" t="s">
        <v>836</v>
      </c>
      <c r="C293" s="52" t="s">
        <v>597</v>
      </c>
      <c r="D293" s="54">
        <v>350</v>
      </c>
      <c r="E293" s="27"/>
      <c r="G293" s="13">
        <f>VLOOKUP(A302,'Factura de ventas'!$B$72:$G$369,6,0)</f>
        <v>2</v>
      </c>
    </row>
    <row r="294" spans="1:7" ht="18" x14ac:dyDescent="0.25">
      <c r="A294" s="50">
        <v>3200</v>
      </c>
      <c r="B294" s="51" t="s">
        <v>694</v>
      </c>
      <c r="C294" s="52" t="s">
        <v>595</v>
      </c>
      <c r="D294" s="54">
        <v>350</v>
      </c>
      <c r="E294" s="27"/>
      <c r="G294" s="13">
        <f>VLOOKUP(A303,'Factura de ventas'!$B$72:$G$369,6,0)</f>
        <v>2</v>
      </c>
    </row>
    <row r="295" spans="1:7" ht="18" x14ac:dyDescent="0.25">
      <c r="A295" s="50">
        <v>3201</v>
      </c>
      <c r="B295" s="51" t="s">
        <v>695</v>
      </c>
      <c r="C295" s="52" t="s">
        <v>594</v>
      </c>
      <c r="D295" s="54">
        <v>350</v>
      </c>
      <c r="E295" s="27"/>
      <c r="G295" s="13">
        <f>VLOOKUP(A304,'Factura de ventas'!$B$72:$G$369,6,0)</f>
        <v>2</v>
      </c>
    </row>
    <row r="296" spans="1:7" ht="18" x14ac:dyDescent="0.25">
      <c r="A296" s="50">
        <v>3202</v>
      </c>
      <c r="B296" s="51" t="s">
        <v>696</v>
      </c>
      <c r="C296" s="52" t="s">
        <v>597</v>
      </c>
      <c r="D296" s="54">
        <v>350</v>
      </c>
      <c r="E296" s="27"/>
      <c r="G296" s="13">
        <f>VLOOKUP(A305,'Factura de ventas'!$B$72:$G$369,6,0)</f>
        <v>2</v>
      </c>
    </row>
    <row r="297" spans="1:7" ht="18" x14ac:dyDescent="0.25">
      <c r="A297" s="50">
        <v>6213</v>
      </c>
      <c r="B297" s="51" t="s">
        <v>610</v>
      </c>
      <c r="C297" s="52" t="s">
        <v>558</v>
      </c>
      <c r="D297" s="54">
        <v>200</v>
      </c>
      <c r="E297" s="27"/>
      <c r="G297" s="13">
        <f>VLOOKUP(A306,'Factura de ventas'!$B$72:$G$369,6,0)</f>
        <v>2</v>
      </c>
    </row>
    <row r="298" spans="1:7" ht="18" x14ac:dyDescent="0.25">
      <c r="A298" s="50">
        <v>3252</v>
      </c>
      <c r="B298" s="51" t="s">
        <v>697</v>
      </c>
      <c r="C298" s="52" t="s">
        <v>558</v>
      </c>
      <c r="D298" s="54">
        <v>65</v>
      </c>
      <c r="E298" s="27"/>
      <c r="G298" s="13">
        <f>VLOOKUP(A307,'Factura de ventas'!$B$72:$G$369,6,0)</f>
        <v>2</v>
      </c>
    </row>
    <row r="299" spans="1:7" ht="15" customHeight="1" x14ac:dyDescent="0.25">
      <c r="A299" s="50">
        <v>6963</v>
      </c>
      <c r="B299" s="51" t="s">
        <v>923</v>
      </c>
      <c r="C299" s="52" t="s">
        <v>558</v>
      </c>
      <c r="D299" s="54">
        <v>30</v>
      </c>
      <c r="E299" s="27"/>
      <c r="G299" s="13">
        <f>VLOOKUP(A308,'Factura de ventas'!$B$72:$G$369,6,0)</f>
        <v>2</v>
      </c>
    </row>
    <row r="300" spans="1:7" ht="18" x14ac:dyDescent="0.25">
      <c r="A300" s="50">
        <v>3735</v>
      </c>
      <c r="B300" s="51" t="s">
        <v>698</v>
      </c>
      <c r="C300" s="52" t="s">
        <v>577</v>
      </c>
      <c r="D300" s="54">
        <v>550</v>
      </c>
      <c r="E300" s="27"/>
      <c r="G300" s="13">
        <f>VLOOKUP(A309,'Factura de ventas'!$B$72:$G$369,6,0)</f>
        <v>2</v>
      </c>
    </row>
    <row r="301" spans="1:7" ht="18" x14ac:dyDescent="0.25">
      <c r="A301" s="50">
        <v>3736</v>
      </c>
      <c r="B301" s="51" t="s">
        <v>699</v>
      </c>
      <c r="C301" s="52" t="s">
        <v>578</v>
      </c>
      <c r="D301" s="54">
        <v>550</v>
      </c>
      <c r="E301" s="27"/>
      <c r="G301" s="13">
        <f>VLOOKUP(A310,'Factura de ventas'!$B$72:$G$369,6,0)</f>
        <v>2</v>
      </c>
    </row>
    <row r="302" spans="1:7" ht="18" x14ac:dyDescent="0.25">
      <c r="A302" s="50">
        <v>3737</v>
      </c>
      <c r="B302" s="51" t="s">
        <v>700</v>
      </c>
      <c r="C302" s="52" t="s">
        <v>570</v>
      </c>
      <c r="D302" s="54">
        <v>550</v>
      </c>
      <c r="E302" s="27"/>
    </row>
    <row r="303" spans="1:7" ht="18" x14ac:dyDescent="0.25">
      <c r="A303" s="50">
        <v>3738</v>
      </c>
      <c r="B303" s="51" t="s">
        <v>701</v>
      </c>
      <c r="C303" s="52" t="s">
        <v>562</v>
      </c>
      <c r="D303" s="54">
        <v>550</v>
      </c>
      <c r="E303" s="27"/>
    </row>
    <row r="304" spans="1:7" ht="18" x14ac:dyDescent="0.25">
      <c r="A304" s="50">
        <v>3739</v>
      </c>
      <c r="B304" s="51" t="s">
        <v>702</v>
      </c>
      <c r="C304" s="52" t="s">
        <v>563</v>
      </c>
      <c r="D304" s="54">
        <v>550</v>
      </c>
      <c r="E304" s="27"/>
    </row>
    <row r="305" spans="1:5" ht="18" x14ac:dyDescent="0.25">
      <c r="A305" s="50">
        <v>3740</v>
      </c>
      <c r="B305" s="51" t="s">
        <v>703</v>
      </c>
      <c r="C305" s="52" t="s">
        <v>564</v>
      </c>
      <c r="D305" s="54">
        <v>550</v>
      </c>
      <c r="E305" s="27"/>
    </row>
    <row r="306" spans="1:5" ht="18" x14ac:dyDescent="0.25">
      <c r="A306" s="50">
        <v>3741</v>
      </c>
      <c r="B306" s="51" t="s">
        <v>704</v>
      </c>
      <c r="C306" s="52" t="s">
        <v>565</v>
      </c>
      <c r="D306" s="54">
        <v>550</v>
      </c>
      <c r="E306" s="27"/>
    </row>
    <row r="307" spans="1:5" ht="18" x14ac:dyDescent="0.25">
      <c r="A307" s="50">
        <v>3742</v>
      </c>
      <c r="B307" s="51" t="s">
        <v>705</v>
      </c>
      <c r="C307" s="52" t="s">
        <v>566</v>
      </c>
      <c r="D307" s="54">
        <v>550</v>
      </c>
      <c r="E307" s="27"/>
    </row>
    <row r="308" spans="1:5" ht="18" x14ac:dyDescent="0.25">
      <c r="A308" s="50">
        <v>3743</v>
      </c>
      <c r="B308" s="51" t="s">
        <v>706</v>
      </c>
      <c r="C308" s="52" t="s">
        <v>567</v>
      </c>
      <c r="D308" s="54">
        <v>550</v>
      </c>
      <c r="E308" s="27"/>
    </row>
    <row r="309" spans="1:5" ht="18" x14ac:dyDescent="0.25">
      <c r="A309" s="50">
        <v>3744</v>
      </c>
      <c r="B309" s="51" t="s">
        <v>707</v>
      </c>
      <c r="C309" s="52" t="s">
        <v>568</v>
      </c>
      <c r="D309" s="54">
        <v>550</v>
      </c>
      <c r="E309" s="33"/>
    </row>
    <row r="310" spans="1:5" ht="18" x14ac:dyDescent="0.25">
      <c r="A310" s="50">
        <v>3745</v>
      </c>
      <c r="B310" s="51" t="s">
        <v>708</v>
      </c>
      <c r="C310" s="52" t="s">
        <v>569</v>
      </c>
      <c r="D310" s="54">
        <v>550</v>
      </c>
      <c r="E310" s="33"/>
    </row>
    <row r="311" spans="1:5" ht="18" x14ac:dyDescent="0.25">
      <c r="A311" s="51"/>
      <c r="B311" s="52"/>
      <c r="C311" s="52"/>
      <c r="D311" s="54"/>
      <c r="E311" s="33"/>
    </row>
    <row r="312" spans="1:5" ht="18" x14ac:dyDescent="0.25">
      <c r="A312" s="51"/>
      <c r="B312" s="52"/>
      <c r="C312" s="52"/>
      <c r="D312" s="54"/>
      <c r="E312" s="33"/>
    </row>
    <row r="313" spans="1:5" ht="18" x14ac:dyDescent="0.25">
      <c r="A313" s="51"/>
      <c r="B313" s="52"/>
      <c r="C313" s="52"/>
      <c r="D313" s="54"/>
      <c r="E313" s="33"/>
    </row>
    <row r="314" spans="1:5" ht="18" x14ac:dyDescent="0.25">
      <c r="A314" s="51"/>
      <c r="B314" s="52"/>
      <c r="C314" s="52"/>
      <c r="D314" s="54"/>
      <c r="E314" s="33"/>
    </row>
    <row r="315" spans="1:5" ht="18" x14ac:dyDescent="0.25">
      <c r="A315" s="51"/>
      <c r="B315" s="52"/>
      <c r="C315" s="52"/>
      <c r="D315" s="54"/>
      <c r="E315" s="33"/>
    </row>
    <row r="316" spans="1:5" ht="18" x14ac:dyDescent="0.25">
      <c r="A316" s="51"/>
      <c r="B316" s="52"/>
      <c r="C316" s="52"/>
      <c r="D316" s="54"/>
      <c r="E316" s="33"/>
    </row>
    <row r="317" spans="1:5" ht="18" x14ac:dyDescent="0.25">
      <c r="A317" s="51"/>
      <c r="B317" s="52"/>
      <c r="C317" s="52"/>
      <c r="D317" s="54"/>
      <c r="E317" s="33"/>
    </row>
    <row r="318" spans="1:5" ht="18" x14ac:dyDescent="0.25">
      <c r="A318" s="51"/>
      <c r="B318" s="52"/>
      <c r="C318" s="52"/>
      <c r="D318" s="54"/>
    </row>
    <row r="319" spans="1:5" ht="18" x14ac:dyDescent="0.25">
      <c r="B319" s="52"/>
      <c r="D319" s="54"/>
    </row>
  </sheetData>
  <sheetProtection algorithmName="SHA-512" hashValue="ywTPThb3UNwKHwsyEe6efYIX8GxGUKd21u5pnPIZPuhRu9hNr83AvAIh/YvfWF59QP+76eXNMwzKLV6NT1P1uw==" saltValue="+rR1ZsjXR2o/v8s3I4NEdg==" spinCount="100000" sheet="1" selectLockedCells="1"/>
  <autoFilter ref="A4:D324" xr:uid="{00000000-0009-0000-0000-000001000000}">
    <sortState ref="A5:D319">
      <sortCondition ref="A5:A319"/>
    </sortState>
  </autoFilter>
  <sortState ref="A5:D310">
    <sortCondition ref="B5:B310"/>
  </sortState>
  <phoneticPr fontId="7" type="noConversion"/>
  <printOptions horizontalCentered="1" verticalCentered="1"/>
  <pageMargins left="0.82677165354330717" right="0.23622047244094491" top="0.47244094488188981" bottom="0.55118110236220474" header="0" footer="0"/>
  <pageSetup scale="73" fitToHeight="0" orientation="landscape" horizontalDpi="300" verticalDpi="300" r:id="rId1"/>
  <headerFooter alignWithMargins="0">
    <oddHeader>&amp;LHoja &amp;P</oddHeader>
    <oddFooter>&amp;L&amp;D&amp;CVerificar disonibilidad antes de la compra&amp;R&amp;8LISTA DE ARTICULOS C.R.M.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actura_Ventas">
                <anchor moveWithCells="1" sizeWithCells="1">
                  <from>
                    <xdr:col>0</xdr:col>
                    <xdr:colOff>114300</xdr:colOff>
                    <xdr:row>0</xdr:row>
                    <xdr:rowOff>66675</xdr:rowOff>
                  </from>
                  <to>
                    <xdr:col>1</xdr:col>
                    <xdr:colOff>1162050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Imprimir_Lista">
                <anchor moveWithCells="1" sizeWithCells="1">
                  <from>
                    <xdr:col>2</xdr:col>
                    <xdr:colOff>2305050</xdr:colOff>
                    <xdr:row>0</xdr:row>
                    <xdr:rowOff>76200</xdr:rowOff>
                  </from>
                  <to>
                    <xdr:col>3</xdr:col>
                    <xdr:colOff>1905000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3" tint="0.59999389629810485"/>
  </sheetPr>
  <dimension ref="A1:C539"/>
  <sheetViews>
    <sheetView workbookViewId="0">
      <pane ySplit="3" topLeftCell="A4" activePane="bottomLeft" state="frozen"/>
      <selection pane="bottomLeft" activeCell="E6" sqref="E6"/>
    </sheetView>
  </sheetViews>
  <sheetFormatPr baseColWidth="10" defaultRowHeight="15" x14ac:dyDescent="0.2"/>
  <cols>
    <col min="1" max="1" width="45.85546875" style="17" bestFit="1" customWidth="1"/>
    <col min="2" max="2" width="18.5703125" style="18" customWidth="1"/>
    <col min="3" max="3" width="38.42578125" style="18" customWidth="1"/>
    <col min="4" max="16384" width="11.42578125" style="17"/>
  </cols>
  <sheetData>
    <row r="1" spans="1:3" ht="15.75" x14ac:dyDescent="0.25">
      <c r="A1" s="98" t="s">
        <v>897</v>
      </c>
      <c r="B1" s="15" t="s">
        <v>21</v>
      </c>
      <c r="C1" s="16"/>
    </row>
    <row r="2" spans="1:3" ht="15.75" x14ac:dyDescent="0.25">
      <c r="A2" s="98"/>
      <c r="B2" s="15" t="s">
        <v>22</v>
      </c>
      <c r="C2" s="16" t="s">
        <v>23</v>
      </c>
    </row>
    <row r="3" spans="1:3" ht="15.75" x14ac:dyDescent="0.25">
      <c r="A3" s="98"/>
      <c r="B3" s="15" t="s">
        <v>24</v>
      </c>
      <c r="C3" s="16"/>
    </row>
    <row r="4" spans="1:3" ht="23.25" x14ac:dyDescent="0.35">
      <c r="A4" s="30" t="s">
        <v>584</v>
      </c>
      <c r="C4" s="29" t="s">
        <v>585</v>
      </c>
    </row>
    <row r="5" spans="1:3" ht="15.75" x14ac:dyDescent="0.25">
      <c r="A5" s="19" t="s">
        <v>25</v>
      </c>
      <c r="B5" s="18">
        <v>675385</v>
      </c>
      <c r="C5" s="18">
        <v>90001</v>
      </c>
    </row>
    <row r="6" spans="1:3" x14ac:dyDescent="0.2">
      <c r="A6" s="55" t="s">
        <v>26</v>
      </c>
      <c r="B6" s="18">
        <v>675385</v>
      </c>
      <c r="C6" s="18">
        <v>90019</v>
      </c>
    </row>
    <row r="7" spans="1:3" x14ac:dyDescent="0.2">
      <c r="A7" s="55" t="s">
        <v>27</v>
      </c>
      <c r="B7" s="18">
        <v>675385</v>
      </c>
      <c r="C7" s="18">
        <v>90027</v>
      </c>
    </row>
    <row r="8" spans="1:3" x14ac:dyDescent="0.2">
      <c r="A8" s="55" t="s">
        <v>28</v>
      </c>
      <c r="B8" s="18">
        <v>675385</v>
      </c>
      <c r="C8" s="18">
        <v>90035</v>
      </c>
    </row>
    <row r="9" spans="1:3" ht="15.75" x14ac:dyDescent="0.25">
      <c r="A9" s="20" t="s">
        <v>29</v>
      </c>
      <c r="B9" s="18">
        <v>675385</v>
      </c>
      <c r="C9" s="18">
        <v>91009</v>
      </c>
    </row>
    <row r="10" spans="1:3" ht="15.75" x14ac:dyDescent="0.25">
      <c r="A10" s="19" t="s">
        <v>30</v>
      </c>
      <c r="B10" s="18">
        <v>675385</v>
      </c>
      <c r="C10" s="18">
        <v>10009</v>
      </c>
    </row>
    <row r="11" spans="1:3" x14ac:dyDescent="0.2">
      <c r="A11" s="55" t="s">
        <v>31</v>
      </c>
      <c r="B11" s="18">
        <v>675385</v>
      </c>
      <c r="C11" s="18">
        <v>10017</v>
      </c>
    </row>
    <row r="12" spans="1:3" ht="15.75" x14ac:dyDescent="0.25">
      <c r="A12" s="19" t="s">
        <v>32</v>
      </c>
      <c r="B12" s="18">
        <v>675385</v>
      </c>
      <c r="C12" s="18">
        <v>20008</v>
      </c>
    </row>
    <row r="13" spans="1:3" x14ac:dyDescent="0.2">
      <c r="A13" s="55" t="s">
        <v>33</v>
      </c>
      <c r="B13" s="18">
        <v>675385</v>
      </c>
      <c r="C13" s="18">
        <v>20016</v>
      </c>
    </row>
    <row r="14" spans="1:3" x14ac:dyDescent="0.2">
      <c r="A14" s="55" t="s">
        <v>34</v>
      </c>
      <c r="B14" s="18">
        <v>675385</v>
      </c>
      <c r="C14" s="18">
        <v>20024</v>
      </c>
    </row>
    <row r="15" spans="1:3" x14ac:dyDescent="0.2">
      <c r="A15" s="55" t="s">
        <v>35</v>
      </c>
      <c r="B15" s="18">
        <v>675385</v>
      </c>
      <c r="C15" s="18">
        <v>20032</v>
      </c>
    </row>
    <row r="16" spans="1:3" x14ac:dyDescent="0.2">
      <c r="A16" s="55" t="s">
        <v>36</v>
      </c>
      <c r="B16" s="18">
        <v>675385</v>
      </c>
      <c r="C16" s="18">
        <v>20040</v>
      </c>
    </row>
    <row r="17" spans="1:3" x14ac:dyDescent="0.2">
      <c r="A17" s="55" t="s">
        <v>37</v>
      </c>
      <c r="B17" s="18">
        <v>675385</v>
      </c>
      <c r="C17" s="18">
        <v>20057</v>
      </c>
    </row>
    <row r="18" spans="1:3" x14ac:dyDescent="0.2">
      <c r="A18" s="55" t="s">
        <v>38</v>
      </c>
      <c r="B18" s="18">
        <v>675385</v>
      </c>
      <c r="C18" s="18">
        <v>20065</v>
      </c>
    </row>
    <row r="19" spans="1:3" x14ac:dyDescent="0.2">
      <c r="A19" s="55" t="s">
        <v>39</v>
      </c>
      <c r="B19" s="18">
        <v>675385</v>
      </c>
      <c r="C19" s="18">
        <v>20073</v>
      </c>
    </row>
    <row r="20" spans="1:3" x14ac:dyDescent="0.2">
      <c r="A20" s="55" t="s">
        <v>40</v>
      </c>
      <c r="B20" s="18">
        <v>675385</v>
      </c>
      <c r="C20" s="18">
        <v>20081</v>
      </c>
    </row>
    <row r="21" spans="1:3" x14ac:dyDescent="0.2">
      <c r="A21" s="55" t="s">
        <v>41</v>
      </c>
      <c r="B21" s="18">
        <v>675385</v>
      </c>
      <c r="C21" s="18">
        <v>20099</v>
      </c>
    </row>
    <row r="22" spans="1:3" ht="15.75" x14ac:dyDescent="0.25">
      <c r="A22" s="19" t="s">
        <v>42</v>
      </c>
      <c r="B22" s="18">
        <v>675385</v>
      </c>
      <c r="C22" s="18">
        <v>30007</v>
      </c>
    </row>
    <row r="23" spans="1:3" x14ac:dyDescent="0.2">
      <c r="A23" s="55" t="s">
        <v>43</v>
      </c>
      <c r="B23" s="18">
        <v>675385</v>
      </c>
      <c r="C23" s="18">
        <v>30015</v>
      </c>
    </row>
    <row r="24" spans="1:3" x14ac:dyDescent="0.2">
      <c r="A24" s="55" t="s">
        <v>44</v>
      </c>
      <c r="B24" s="18">
        <v>675385</v>
      </c>
      <c r="C24" s="18">
        <v>30023</v>
      </c>
    </row>
    <row r="25" spans="1:3" x14ac:dyDescent="0.2">
      <c r="A25" s="55" t="s">
        <v>45</v>
      </c>
      <c r="B25" s="18">
        <v>675385</v>
      </c>
      <c r="C25" s="18">
        <v>30031</v>
      </c>
    </row>
    <row r="26" spans="1:3" x14ac:dyDescent="0.2">
      <c r="A26" s="55" t="s">
        <v>46</v>
      </c>
      <c r="B26" s="18">
        <v>675385</v>
      </c>
      <c r="C26" s="18">
        <v>30049</v>
      </c>
    </row>
    <row r="27" spans="1:3" x14ac:dyDescent="0.2">
      <c r="A27" s="55" t="s">
        <v>47</v>
      </c>
      <c r="B27" s="18">
        <v>675385</v>
      </c>
      <c r="C27" s="18">
        <v>30056</v>
      </c>
    </row>
    <row r="28" spans="1:3" x14ac:dyDescent="0.2">
      <c r="A28" s="55" t="s">
        <v>48</v>
      </c>
      <c r="B28" s="18">
        <v>675385</v>
      </c>
      <c r="C28" s="18">
        <v>30064</v>
      </c>
    </row>
    <row r="29" spans="1:3" x14ac:dyDescent="0.2">
      <c r="A29" s="55" t="s">
        <v>49</v>
      </c>
      <c r="B29" s="18">
        <v>675385</v>
      </c>
      <c r="C29" s="18">
        <v>30072</v>
      </c>
    </row>
    <row r="30" spans="1:3" x14ac:dyDescent="0.2">
      <c r="A30" s="55" t="s">
        <v>50</v>
      </c>
      <c r="B30" s="18">
        <v>675385</v>
      </c>
      <c r="C30" s="18">
        <v>30080</v>
      </c>
    </row>
    <row r="31" spans="1:3" x14ac:dyDescent="0.2">
      <c r="A31" s="55" t="s">
        <v>51</v>
      </c>
      <c r="B31" s="18">
        <v>675385</v>
      </c>
      <c r="C31" s="18">
        <v>30098</v>
      </c>
    </row>
    <row r="32" spans="1:3" x14ac:dyDescent="0.2">
      <c r="A32" s="55" t="s">
        <v>52</v>
      </c>
      <c r="B32" s="18">
        <v>675385</v>
      </c>
      <c r="C32" s="18">
        <v>30106</v>
      </c>
    </row>
    <row r="33" spans="1:3" x14ac:dyDescent="0.2">
      <c r="A33" s="55" t="s">
        <v>53</v>
      </c>
      <c r="B33" s="18">
        <v>675385</v>
      </c>
      <c r="C33" s="18">
        <v>30114</v>
      </c>
    </row>
    <row r="34" spans="1:3" x14ac:dyDescent="0.2">
      <c r="A34" s="55" t="s">
        <v>54</v>
      </c>
      <c r="B34" s="18">
        <v>675385</v>
      </c>
      <c r="C34" s="18">
        <v>30122</v>
      </c>
    </row>
    <row r="35" spans="1:3" x14ac:dyDescent="0.2">
      <c r="A35" s="55" t="s">
        <v>55</v>
      </c>
      <c r="B35" s="18">
        <v>675385</v>
      </c>
      <c r="C35" s="18">
        <v>30130</v>
      </c>
    </row>
    <row r="36" spans="1:3" x14ac:dyDescent="0.2">
      <c r="A36" s="55" t="s">
        <v>56</v>
      </c>
      <c r="B36" s="18">
        <v>675385</v>
      </c>
      <c r="C36" s="18">
        <v>30148</v>
      </c>
    </row>
    <row r="37" spans="1:3" x14ac:dyDescent="0.2">
      <c r="A37" s="55" t="s">
        <v>57</v>
      </c>
      <c r="B37" s="18">
        <v>675385</v>
      </c>
      <c r="C37" s="18">
        <v>30155</v>
      </c>
    </row>
    <row r="38" spans="1:3" x14ac:dyDescent="0.2">
      <c r="A38" s="55" t="s">
        <v>58</v>
      </c>
      <c r="B38" s="18">
        <v>675385</v>
      </c>
      <c r="C38" s="18">
        <v>30163</v>
      </c>
    </row>
    <row r="39" spans="1:3" x14ac:dyDescent="0.2">
      <c r="A39" s="55" t="s">
        <v>59</v>
      </c>
      <c r="B39" s="18">
        <v>675385</v>
      </c>
      <c r="C39" s="18">
        <v>30171</v>
      </c>
    </row>
    <row r="40" spans="1:3" x14ac:dyDescent="0.2">
      <c r="A40" s="55" t="s">
        <v>60</v>
      </c>
      <c r="B40" s="18">
        <v>675385</v>
      </c>
      <c r="C40" s="18">
        <v>30189</v>
      </c>
    </row>
    <row r="41" spans="1:3" x14ac:dyDescent="0.2">
      <c r="A41" s="55" t="s">
        <v>61</v>
      </c>
      <c r="B41" s="18">
        <v>675385</v>
      </c>
      <c r="C41" s="18">
        <v>30197</v>
      </c>
    </row>
    <row r="42" spans="1:3" ht="15.75" x14ac:dyDescent="0.25">
      <c r="A42" s="19" t="s">
        <v>62</v>
      </c>
      <c r="B42" s="18">
        <v>675385</v>
      </c>
      <c r="C42" s="18">
        <v>40006</v>
      </c>
    </row>
    <row r="43" spans="1:3" x14ac:dyDescent="0.2">
      <c r="A43" s="55" t="s">
        <v>63</v>
      </c>
      <c r="B43" s="18">
        <v>675385</v>
      </c>
      <c r="C43" s="18">
        <v>40014</v>
      </c>
    </row>
    <row r="44" spans="1:3" x14ac:dyDescent="0.2">
      <c r="A44" s="55" t="s">
        <v>64</v>
      </c>
      <c r="B44" s="18">
        <v>675385</v>
      </c>
      <c r="C44" s="18">
        <v>40022</v>
      </c>
    </row>
    <row r="45" spans="1:3" x14ac:dyDescent="0.2">
      <c r="A45" s="55" t="s">
        <v>65</v>
      </c>
      <c r="B45" s="18">
        <v>675385</v>
      </c>
      <c r="C45" s="18">
        <v>40055</v>
      </c>
    </row>
    <row r="46" spans="1:3" ht="15.75" x14ac:dyDescent="0.25">
      <c r="A46" s="19" t="s">
        <v>66</v>
      </c>
      <c r="B46" s="18">
        <v>675385</v>
      </c>
      <c r="C46" s="18">
        <v>50005</v>
      </c>
    </row>
    <row r="47" spans="1:3" x14ac:dyDescent="0.2">
      <c r="A47" s="55" t="s">
        <v>67</v>
      </c>
      <c r="B47" s="18">
        <v>675385</v>
      </c>
      <c r="C47" s="18">
        <v>50013</v>
      </c>
    </row>
    <row r="48" spans="1:3" x14ac:dyDescent="0.2">
      <c r="A48" s="55" t="s">
        <v>68</v>
      </c>
      <c r="B48" s="18">
        <v>675385</v>
      </c>
      <c r="C48" s="18">
        <v>50021</v>
      </c>
    </row>
    <row r="49" spans="1:3" x14ac:dyDescent="0.2">
      <c r="A49" s="55" t="s">
        <v>69</v>
      </c>
      <c r="B49" s="18">
        <v>675385</v>
      </c>
      <c r="C49" s="18">
        <v>50039</v>
      </c>
    </row>
    <row r="50" spans="1:3" x14ac:dyDescent="0.2">
      <c r="A50" s="55" t="s">
        <v>70</v>
      </c>
      <c r="B50" s="18">
        <v>675385</v>
      </c>
      <c r="C50" s="18">
        <v>50047</v>
      </c>
    </row>
    <row r="51" spans="1:3" x14ac:dyDescent="0.2">
      <c r="A51" s="55" t="s">
        <v>71</v>
      </c>
      <c r="B51" s="18">
        <v>675385</v>
      </c>
      <c r="C51" s="18">
        <v>50054</v>
      </c>
    </row>
    <row r="52" spans="1:3" x14ac:dyDescent="0.2">
      <c r="A52" s="55" t="s">
        <v>72</v>
      </c>
      <c r="B52" s="18">
        <v>675385</v>
      </c>
      <c r="C52" s="18">
        <v>50062</v>
      </c>
    </row>
    <row r="53" spans="1:3" x14ac:dyDescent="0.2">
      <c r="A53" s="55" t="s">
        <v>73</v>
      </c>
      <c r="B53" s="18">
        <v>675385</v>
      </c>
      <c r="C53" s="18">
        <v>50070</v>
      </c>
    </row>
    <row r="54" spans="1:3" x14ac:dyDescent="0.2">
      <c r="A54" s="55" t="s">
        <v>74</v>
      </c>
      <c r="B54" s="18">
        <v>675385</v>
      </c>
      <c r="C54" s="18">
        <v>50088</v>
      </c>
    </row>
    <row r="55" spans="1:3" x14ac:dyDescent="0.2">
      <c r="A55" s="55" t="s">
        <v>75</v>
      </c>
      <c r="B55" s="18">
        <v>675385</v>
      </c>
      <c r="C55" s="18">
        <v>50096</v>
      </c>
    </row>
    <row r="56" spans="1:3" x14ac:dyDescent="0.2">
      <c r="A56" s="55" t="s">
        <v>76</v>
      </c>
      <c r="B56" s="18">
        <v>675385</v>
      </c>
      <c r="C56" s="18">
        <v>50104</v>
      </c>
    </row>
    <row r="57" spans="1:3" x14ac:dyDescent="0.2">
      <c r="A57" s="55" t="s">
        <v>77</v>
      </c>
      <c r="B57" s="18">
        <v>675385</v>
      </c>
      <c r="C57" s="18">
        <v>50112</v>
      </c>
    </row>
    <row r="58" spans="1:3" x14ac:dyDescent="0.2">
      <c r="A58" s="55" t="s">
        <v>78</v>
      </c>
      <c r="B58" s="18">
        <v>675385</v>
      </c>
      <c r="C58" s="18">
        <v>50120</v>
      </c>
    </row>
    <row r="59" spans="1:3" ht="15.75" x14ac:dyDescent="0.25">
      <c r="A59" s="19" t="s">
        <v>79</v>
      </c>
      <c r="B59" s="18">
        <v>675385</v>
      </c>
      <c r="C59" s="18">
        <v>60004</v>
      </c>
    </row>
    <row r="60" spans="1:3" x14ac:dyDescent="0.2">
      <c r="A60" s="55" t="s">
        <v>80</v>
      </c>
      <c r="B60" s="18">
        <v>675385</v>
      </c>
      <c r="C60" s="18">
        <v>60012</v>
      </c>
    </row>
    <row r="61" spans="1:3" x14ac:dyDescent="0.2">
      <c r="A61" s="55" t="s">
        <v>81</v>
      </c>
      <c r="B61" s="18">
        <v>675385</v>
      </c>
      <c r="C61" s="18">
        <v>60020</v>
      </c>
    </row>
    <row r="62" spans="1:3" x14ac:dyDescent="0.2">
      <c r="A62" s="55" t="s">
        <v>82</v>
      </c>
      <c r="B62" s="18">
        <v>675385</v>
      </c>
      <c r="C62" s="18">
        <v>60038</v>
      </c>
    </row>
    <row r="63" spans="1:3" x14ac:dyDescent="0.2">
      <c r="A63" s="55" t="s">
        <v>83</v>
      </c>
      <c r="B63" s="18">
        <v>675385</v>
      </c>
      <c r="C63" s="18">
        <v>60046</v>
      </c>
    </row>
    <row r="64" spans="1:3" x14ac:dyDescent="0.2">
      <c r="A64" s="55" t="s">
        <v>84</v>
      </c>
      <c r="B64" s="18">
        <v>675385</v>
      </c>
      <c r="C64" s="18">
        <v>60053</v>
      </c>
    </row>
    <row r="65" spans="1:3" x14ac:dyDescent="0.2">
      <c r="A65" s="55" t="s">
        <v>85</v>
      </c>
      <c r="B65" s="18">
        <v>675385</v>
      </c>
      <c r="C65" s="18">
        <v>60061</v>
      </c>
    </row>
    <row r="66" spans="1:3" ht="15.75" x14ac:dyDescent="0.25">
      <c r="A66" s="19" t="s">
        <v>86</v>
      </c>
      <c r="B66" s="18">
        <v>675385</v>
      </c>
      <c r="C66" s="18">
        <v>70003</v>
      </c>
    </row>
    <row r="67" spans="1:3" x14ac:dyDescent="0.2">
      <c r="A67" s="55" t="s">
        <v>87</v>
      </c>
      <c r="B67" s="18">
        <v>675385</v>
      </c>
      <c r="C67" s="18">
        <v>70011</v>
      </c>
    </row>
    <row r="68" spans="1:3" x14ac:dyDescent="0.2">
      <c r="A68" s="55" t="s">
        <v>88</v>
      </c>
      <c r="B68" s="18">
        <v>675385</v>
      </c>
      <c r="C68" s="18">
        <v>70029</v>
      </c>
    </row>
    <row r="69" spans="1:3" x14ac:dyDescent="0.2">
      <c r="A69" s="55" t="s">
        <v>89</v>
      </c>
      <c r="B69" s="18">
        <v>675385</v>
      </c>
      <c r="C69" s="18">
        <v>70037</v>
      </c>
    </row>
    <row r="70" spans="1:3" x14ac:dyDescent="0.2">
      <c r="A70" s="55" t="s">
        <v>90</v>
      </c>
      <c r="B70" s="18">
        <v>675385</v>
      </c>
      <c r="C70" s="18">
        <v>70045</v>
      </c>
    </row>
    <row r="71" spans="1:3" x14ac:dyDescent="0.2">
      <c r="A71" s="55" t="s">
        <v>91</v>
      </c>
      <c r="B71" s="18">
        <v>675385</v>
      </c>
      <c r="C71" s="18">
        <v>70052</v>
      </c>
    </row>
    <row r="72" spans="1:3" x14ac:dyDescent="0.2">
      <c r="A72" s="55" t="s">
        <v>92</v>
      </c>
      <c r="B72" s="18">
        <v>675385</v>
      </c>
      <c r="C72" s="18">
        <v>70060</v>
      </c>
    </row>
    <row r="73" spans="1:3" x14ac:dyDescent="0.2">
      <c r="A73" s="55" t="s">
        <v>93</v>
      </c>
      <c r="B73" s="18">
        <v>675385</v>
      </c>
      <c r="C73" s="18">
        <v>70078</v>
      </c>
    </row>
    <row r="74" spans="1:3" x14ac:dyDescent="0.2">
      <c r="A74" s="55" t="s">
        <v>94</v>
      </c>
      <c r="B74" s="18">
        <v>675385</v>
      </c>
      <c r="C74" s="18">
        <v>70086</v>
      </c>
    </row>
    <row r="75" spans="1:3" x14ac:dyDescent="0.2">
      <c r="A75" s="55" t="s">
        <v>95</v>
      </c>
      <c r="B75" s="18">
        <v>675385</v>
      </c>
      <c r="C75" s="18">
        <v>70094</v>
      </c>
    </row>
    <row r="76" spans="1:3" x14ac:dyDescent="0.2">
      <c r="A76" s="55" t="s">
        <v>96</v>
      </c>
      <c r="B76" s="18">
        <v>675385</v>
      </c>
      <c r="C76" s="18">
        <v>70102</v>
      </c>
    </row>
    <row r="77" spans="1:3" x14ac:dyDescent="0.2">
      <c r="A77" s="55" t="s">
        <v>97</v>
      </c>
      <c r="B77" s="18">
        <v>675385</v>
      </c>
      <c r="C77" s="18">
        <v>70110</v>
      </c>
    </row>
    <row r="78" spans="1:3" x14ac:dyDescent="0.2">
      <c r="A78" s="55" t="s">
        <v>98</v>
      </c>
      <c r="B78" s="18">
        <v>675385</v>
      </c>
      <c r="C78" s="18">
        <v>70128</v>
      </c>
    </row>
    <row r="79" spans="1:3" x14ac:dyDescent="0.2">
      <c r="A79" s="55" t="s">
        <v>99</v>
      </c>
      <c r="B79" s="18">
        <v>675385</v>
      </c>
      <c r="C79" s="18">
        <v>70136</v>
      </c>
    </row>
    <row r="80" spans="1:3" x14ac:dyDescent="0.2">
      <c r="A80" s="55" t="s">
        <v>100</v>
      </c>
      <c r="B80" s="18">
        <v>675385</v>
      </c>
      <c r="C80" s="18">
        <v>70144</v>
      </c>
    </row>
    <row r="81" spans="1:3" x14ac:dyDescent="0.2">
      <c r="A81" s="55" t="s">
        <v>101</v>
      </c>
      <c r="B81" s="18">
        <v>675385</v>
      </c>
      <c r="C81" s="18">
        <v>70151</v>
      </c>
    </row>
    <row r="82" spans="1:3" x14ac:dyDescent="0.2">
      <c r="A82" s="55" t="s">
        <v>102</v>
      </c>
      <c r="B82" s="18">
        <v>675385</v>
      </c>
      <c r="C82" s="18">
        <v>70169</v>
      </c>
    </row>
    <row r="83" spans="1:3" x14ac:dyDescent="0.2">
      <c r="A83" s="55" t="s">
        <v>103</v>
      </c>
      <c r="B83" s="18">
        <v>675385</v>
      </c>
      <c r="C83" s="18">
        <v>70177</v>
      </c>
    </row>
    <row r="84" spans="1:3" x14ac:dyDescent="0.2">
      <c r="A84" s="55" t="s">
        <v>104</v>
      </c>
      <c r="B84" s="18">
        <v>675385</v>
      </c>
      <c r="C84" s="18">
        <v>70185</v>
      </c>
    </row>
    <row r="85" spans="1:3" x14ac:dyDescent="0.2">
      <c r="A85" s="55" t="s">
        <v>105</v>
      </c>
      <c r="B85" s="18">
        <v>675385</v>
      </c>
      <c r="C85" s="18">
        <v>70193</v>
      </c>
    </row>
    <row r="86" spans="1:3" x14ac:dyDescent="0.2">
      <c r="A86" s="55" t="s">
        <v>106</v>
      </c>
      <c r="B86" s="18">
        <v>675385</v>
      </c>
      <c r="C86" s="18">
        <v>70201</v>
      </c>
    </row>
    <row r="87" spans="1:3" x14ac:dyDescent="0.2">
      <c r="A87" s="55" t="s">
        <v>107</v>
      </c>
      <c r="B87" s="18">
        <v>675385</v>
      </c>
      <c r="C87" s="18">
        <v>70219</v>
      </c>
    </row>
    <row r="88" spans="1:3" ht="15.75" x14ac:dyDescent="0.25">
      <c r="A88" s="19" t="s">
        <v>108</v>
      </c>
      <c r="B88" s="18">
        <v>675385</v>
      </c>
      <c r="C88" s="18">
        <v>80002</v>
      </c>
    </row>
    <row r="89" spans="1:3" x14ac:dyDescent="0.2">
      <c r="A89" s="55" t="s">
        <v>109</v>
      </c>
      <c r="B89" s="18">
        <v>675385</v>
      </c>
      <c r="C89" s="18">
        <v>80010</v>
      </c>
    </row>
    <row r="90" spans="1:3" x14ac:dyDescent="0.2">
      <c r="A90" s="55" t="s">
        <v>110</v>
      </c>
      <c r="B90" s="18">
        <v>675385</v>
      </c>
      <c r="C90" s="18">
        <v>80028</v>
      </c>
    </row>
    <row r="91" spans="1:3" x14ac:dyDescent="0.2">
      <c r="A91" s="55" t="s">
        <v>111</v>
      </c>
      <c r="B91" s="18">
        <v>675385</v>
      </c>
      <c r="C91" s="18">
        <v>80036</v>
      </c>
    </row>
    <row r="92" spans="1:3" x14ac:dyDescent="0.2">
      <c r="A92" s="55" t="s">
        <v>112</v>
      </c>
      <c r="B92" s="18">
        <v>675385</v>
      </c>
      <c r="C92" s="18">
        <v>80044</v>
      </c>
    </row>
    <row r="93" spans="1:3" x14ac:dyDescent="0.2">
      <c r="A93" s="55" t="s">
        <v>113</v>
      </c>
      <c r="B93" s="18">
        <v>675385</v>
      </c>
      <c r="C93" s="18">
        <v>80051</v>
      </c>
    </row>
    <row r="94" spans="1:3" x14ac:dyDescent="0.2">
      <c r="A94" s="55" t="s">
        <v>114</v>
      </c>
      <c r="B94" s="18">
        <v>675385</v>
      </c>
      <c r="C94" s="18">
        <v>80069</v>
      </c>
    </row>
    <row r="95" spans="1:3" x14ac:dyDescent="0.2">
      <c r="A95" s="55" t="s">
        <v>115</v>
      </c>
      <c r="B95" s="18">
        <v>675385</v>
      </c>
      <c r="C95" s="18">
        <v>80077</v>
      </c>
    </row>
    <row r="96" spans="1:3" x14ac:dyDescent="0.2">
      <c r="A96" s="55" t="s">
        <v>116</v>
      </c>
      <c r="B96" s="18">
        <v>675385</v>
      </c>
      <c r="C96" s="18">
        <v>80085</v>
      </c>
    </row>
    <row r="97" spans="1:3" x14ac:dyDescent="0.2">
      <c r="A97" s="55" t="s">
        <v>117</v>
      </c>
      <c r="B97" s="18">
        <v>675385</v>
      </c>
      <c r="C97" s="18">
        <v>80093</v>
      </c>
    </row>
    <row r="98" spans="1:3" x14ac:dyDescent="0.2">
      <c r="A98" s="55" t="s">
        <v>118</v>
      </c>
      <c r="B98" s="18">
        <v>675385</v>
      </c>
      <c r="C98" s="18">
        <v>80101</v>
      </c>
    </row>
    <row r="99" spans="1:3" x14ac:dyDescent="0.2">
      <c r="A99" s="55" t="s">
        <v>119</v>
      </c>
      <c r="B99" s="18">
        <v>675385</v>
      </c>
      <c r="C99" s="18">
        <v>80119</v>
      </c>
    </row>
    <row r="100" spans="1:3" x14ac:dyDescent="0.2">
      <c r="A100" s="55" t="s">
        <v>120</v>
      </c>
      <c r="B100" s="18">
        <v>675385</v>
      </c>
      <c r="C100" s="18">
        <v>80127</v>
      </c>
    </row>
    <row r="101" spans="1:3" x14ac:dyDescent="0.2">
      <c r="A101" s="55" t="s">
        <v>121</v>
      </c>
      <c r="B101" s="18">
        <v>675385</v>
      </c>
      <c r="C101" s="18">
        <v>80135</v>
      </c>
    </row>
    <row r="102" spans="1:3" x14ac:dyDescent="0.2">
      <c r="A102" s="55" t="s">
        <v>122</v>
      </c>
      <c r="B102" s="18">
        <v>675385</v>
      </c>
      <c r="C102" s="18">
        <v>80143</v>
      </c>
    </row>
    <row r="103" spans="1:3" x14ac:dyDescent="0.2">
      <c r="A103" s="55" t="s">
        <v>123</v>
      </c>
      <c r="B103" s="18">
        <v>675385</v>
      </c>
      <c r="C103" s="18">
        <v>80150</v>
      </c>
    </row>
    <row r="104" spans="1:3" x14ac:dyDescent="0.2">
      <c r="A104" s="55" t="s">
        <v>124</v>
      </c>
      <c r="B104" s="18">
        <v>675385</v>
      </c>
      <c r="C104" s="18">
        <v>80168</v>
      </c>
    </row>
    <row r="105" spans="1:3" x14ac:dyDescent="0.2">
      <c r="A105" s="55" t="s">
        <v>125</v>
      </c>
      <c r="B105" s="18">
        <v>675385</v>
      </c>
      <c r="C105" s="18">
        <v>80176</v>
      </c>
    </row>
    <row r="106" spans="1:3" x14ac:dyDescent="0.2">
      <c r="A106" s="55" t="s">
        <v>126</v>
      </c>
      <c r="B106" s="18">
        <v>675385</v>
      </c>
      <c r="C106" s="18">
        <v>80184</v>
      </c>
    </row>
    <row r="107" spans="1:3" x14ac:dyDescent="0.2">
      <c r="A107" s="55" t="s">
        <v>127</v>
      </c>
      <c r="B107" s="18">
        <v>675385</v>
      </c>
      <c r="C107" s="18">
        <v>80192</v>
      </c>
    </row>
    <row r="108" spans="1:3" x14ac:dyDescent="0.2">
      <c r="A108" s="55" t="s">
        <v>128</v>
      </c>
      <c r="B108" s="18">
        <v>675385</v>
      </c>
      <c r="C108" s="18">
        <v>80200</v>
      </c>
    </row>
    <row r="109" spans="1:3" ht="15.75" x14ac:dyDescent="0.25">
      <c r="A109" s="19" t="s">
        <v>129</v>
      </c>
      <c r="B109" s="18">
        <v>675385</v>
      </c>
      <c r="C109" s="18">
        <v>100008</v>
      </c>
    </row>
    <row r="110" spans="1:3" x14ac:dyDescent="0.2">
      <c r="A110" s="55" t="s">
        <v>130</v>
      </c>
      <c r="B110" s="18">
        <v>675385</v>
      </c>
      <c r="C110" s="18">
        <v>100016</v>
      </c>
    </row>
    <row r="111" spans="1:3" x14ac:dyDescent="0.2">
      <c r="A111" s="55" t="s">
        <v>131</v>
      </c>
      <c r="B111" s="18">
        <v>675385</v>
      </c>
      <c r="C111" s="18">
        <v>100024</v>
      </c>
    </row>
    <row r="112" spans="1:3" x14ac:dyDescent="0.2">
      <c r="A112" s="55" t="s">
        <v>132</v>
      </c>
      <c r="B112" s="18">
        <v>675385</v>
      </c>
      <c r="C112" s="18">
        <v>100032</v>
      </c>
    </row>
    <row r="113" spans="1:3" x14ac:dyDescent="0.2">
      <c r="A113" s="55" t="s">
        <v>133</v>
      </c>
      <c r="B113" s="18">
        <v>675385</v>
      </c>
      <c r="C113" s="18">
        <v>100040</v>
      </c>
    </row>
    <row r="114" spans="1:3" x14ac:dyDescent="0.2">
      <c r="A114" s="55" t="s">
        <v>134</v>
      </c>
      <c r="B114" s="18">
        <v>675385</v>
      </c>
      <c r="C114" s="18">
        <v>100057</v>
      </c>
    </row>
    <row r="115" spans="1:3" x14ac:dyDescent="0.2">
      <c r="A115" s="55" t="s">
        <v>135</v>
      </c>
      <c r="B115" s="18">
        <v>675385</v>
      </c>
      <c r="C115" s="18">
        <v>100065</v>
      </c>
    </row>
    <row r="116" spans="1:3" x14ac:dyDescent="0.2">
      <c r="A116" s="55" t="s">
        <v>136</v>
      </c>
      <c r="B116" s="18">
        <v>675385</v>
      </c>
      <c r="C116" s="18">
        <v>100073</v>
      </c>
    </row>
    <row r="117" spans="1:3" x14ac:dyDescent="0.2">
      <c r="A117" s="55" t="s">
        <v>137</v>
      </c>
      <c r="B117" s="18">
        <v>675385</v>
      </c>
      <c r="C117" s="18">
        <v>100081</v>
      </c>
    </row>
    <row r="118" spans="1:3" x14ac:dyDescent="0.2">
      <c r="A118" s="55" t="s">
        <v>138</v>
      </c>
      <c r="B118" s="18">
        <v>675385</v>
      </c>
      <c r="C118" s="18">
        <v>100099</v>
      </c>
    </row>
    <row r="119" spans="1:3" x14ac:dyDescent="0.2">
      <c r="A119" s="55" t="s">
        <v>139</v>
      </c>
      <c r="B119" s="18">
        <v>675385</v>
      </c>
      <c r="C119" s="18">
        <v>100107</v>
      </c>
    </row>
    <row r="120" spans="1:3" x14ac:dyDescent="0.2">
      <c r="A120" s="55" t="s">
        <v>140</v>
      </c>
      <c r="B120" s="18">
        <v>675385</v>
      </c>
      <c r="C120" s="18">
        <v>100115</v>
      </c>
    </row>
    <row r="121" spans="1:3" x14ac:dyDescent="0.2">
      <c r="A121" s="55" t="s">
        <v>141</v>
      </c>
      <c r="B121" s="18">
        <v>675385</v>
      </c>
      <c r="C121" s="18">
        <v>100123</v>
      </c>
    </row>
    <row r="122" spans="1:3" ht="15.75" x14ac:dyDescent="0.25">
      <c r="A122" s="19" t="s">
        <v>142</v>
      </c>
      <c r="B122" s="18">
        <v>675385</v>
      </c>
      <c r="C122" s="18">
        <v>110007</v>
      </c>
    </row>
    <row r="123" spans="1:3" x14ac:dyDescent="0.2">
      <c r="A123" s="55" t="s">
        <v>143</v>
      </c>
      <c r="B123" s="18">
        <v>675385</v>
      </c>
      <c r="C123" s="18">
        <v>110015</v>
      </c>
    </row>
    <row r="124" spans="1:3" x14ac:dyDescent="0.2">
      <c r="A124" s="55" t="s">
        <v>144</v>
      </c>
      <c r="B124" s="18">
        <v>675385</v>
      </c>
      <c r="C124" s="18">
        <v>110023</v>
      </c>
    </row>
    <row r="125" spans="1:3" x14ac:dyDescent="0.2">
      <c r="A125" s="55" t="s">
        <v>145</v>
      </c>
      <c r="B125" s="18">
        <v>675385</v>
      </c>
      <c r="C125" s="18">
        <v>110031</v>
      </c>
    </row>
    <row r="126" spans="1:3" x14ac:dyDescent="0.2">
      <c r="A126" s="55" t="s">
        <v>146</v>
      </c>
      <c r="B126" s="18">
        <v>675385</v>
      </c>
      <c r="C126" s="18">
        <v>110049</v>
      </c>
    </row>
    <row r="127" spans="1:3" x14ac:dyDescent="0.2">
      <c r="A127" s="55" t="s">
        <v>147</v>
      </c>
      <c r="B127" s="18">
        <v>675385</v>
      </c>
      <c r="C127" s="18">
        <v>110056</v>
      </c>
    </row>
    <row r="128" spans="1:3" x14ac:dyDescent="0.2">
      <c r="A128" s="55" t="s">
        <v>148</v>
      </c>
      <c r="B128" s="18">
        <v>675385</v>
      </c>
      <c r="C128" s="18">
        <v>110064</v>
      </c>
    </row>
    <row r="129" spans="1:3" x14ac:dyDescent="0.2">
      <c r="A129" s="55" t="s">
        <v>149</v>
      </c>
      <c r="B129" s="18">
        <v>675385</v>
      </c>
      <c r="C129" s="18">
        <v>110072</v>
      </c>
    </row>
    <row r="130" spans="1:3" x14ac:dyDescent="0.2">
      <c r="A130" s="55" t="s">
        <v>150</v>
      </c>
      <c r="B130" s="18">
        <v>675385</v>
      </c>
      <c r="C130" s="18">
        <v>110080</v>
      </c>
    </row>
    <row r="131" spans="1:3" x14ac:dyDescent="0.2">
      <c r="A131" s="55" t="s">
        <v>151</v>
      </c>
      <c r="B131" s="18">
        <v>675385</v>
      </c>
      <c r="C131" s="18">
        <v>110098</v>
      </c>
    </row>
    <row r="132" spans="1:3" x14ac:dyDescent="0.2">
      <c r="A132" s="55" t="s">
        <v>152</v>
      </c>
      <c r="B132" s="18">
        <v>675385</v>
      </c>
      <c r="C132" s="18">
        <v>110106</v>
      </c>
    </row>
    <row r="133" spans="1:3" x14ac:dyDescent="0.2">
      <c r="A133" s="55" t="s">
        <v>153</v>
      </c>
      <c r="B133" s="18">
        <v>675385</v>
      </c>
      <c r="C133" s="18">
        <v>110114</v>
      </c>
    </row>
    <row r="134" spans="1:3" x14ac:dyDescent="0.2">
      <c r="A134" s="55" t="s">
        <v>154</v>
      </c>
      <c r="B134" s="18">
        <v>675385</v>
      </c>
      <c r="C134" s="18">
        <v>110122</v>
      </c>
    </row>
    <row r="135" spans="1:3" x14ac:dyDescent="0.2">
      <c r="A135" s="55" t="s">
        <v>155</v>
      </c>
      <c r="B135" s="18">
        <v>675385</v>
      </c>
      <c r="C135" s="18">
        <v>110130</v>
      </c>
    </row>
    <row r="136" spans="1:3" x14ac:dyDescent="0.2">
      <c r="A136" s="55" t="s">
        <v>39</v>
      </c>
      <c r="B136" s="18">
        <v>675385</v>
      </c>
      <c r="C136" s="18">
        <v>110148</v>
      </c>
    </row>
    <row r="137" spans="1:3" x14ac:dyDescent="0.2">
      <c r="A137" s="55" t="s">
        <v>156</v>
      </c>
      <c r="B137" s="18">
        <v>675385</v>
      </c>
      <c r="C137" s="18">
        <v>110155</v>
      </c>
    </row>
    <row r="138" spans="1:3" x14ac:dyDescent="0.2">
      <c r="A138" s="55" t="s">
        <v>157</v>
      </c>
      <c r="B138" s="18">
        <v>675385</v>
      </c>
      <c r="C138" s="18">
        <v>110163</v>
      </c>
    </row>
    <row r="139" spans="1:3" x14ac:dyDescent="0.2">
      <c r="A139" s="55" t="s">
        <v>158</v>
      </c>
      <c r="B139" s="18">
        <v>675385</v>
      </c>
      <c r="C139" s="18">
        <v>110171</v>
      </c>
    </row>
    <row r="140" spans="1:3" x14ac:dyDescent="0.2">
      <c r="A140" s="55" t="s">
        <v>159</v>
      </c>
      <c r="B140" s="18">
        <v>675385</v>
      </c>
      <c r="C140" s="18">
        <v>110189</v>
      </c>
    </row>
    <row r="141" spans="1:3" x14ac:dyDescent="0.2">
      <c r="A141" s="55" t="s">
        <v>160</v>
      </c>
      <c r="B141" s="18">
        <v>675385</v>
      </c>
      <c r="C141" s="18">
        <v>110197</v>
      </c>
    </row>
    <row r="142" spans="1:3" x14ac:dyDescent="0.2">
      <c r="A142" s="55" t="s">
        <v>161</v>
      </c>
      <c r="B142" s="18">
        <v>675385</v>
      </c>
      <c r="C142" s="18">
        <v>110205</v>
      </c>
    </row>
    <row r="143" spans="1:3" x14ac:dyDescent="0.2">
      <c r="A143" s="55" t="s">
        <v>162</v>
      </c>
      <c r="B143" s="18">
        <v>675385</v>
      </c>
      <c r="C143" s="18">
        <v>110213</v>
      </c>
    </row>
    <row r="144" spans="1:3" x14ac:dyDescent="0.2">
      <c r="A144" s="55" t="s">
        <v>163</v>
      </c>
      <c r="B144" s="18">
        <v>675385</v>
      </c>
      <c r="C144" s="18">
        <v>110221</v>
      </c>
    </row>
    <row r="145" spans="1:3" x14ac:dyDescent="0.2">
      <c r="A145" s="55" t="s">
        <v>164</v>
      </c>
      <c r="B145" s="18">
        <v>675385</v>
      </c>
      <c r="C145" s="18">
        <v>110239</v>
      </c>
    </row>
    <row r="146" spans="1:3" ht="15.75" x14ac:dyDescent="0.25">
      <c r="A146" s="19" t="s">
        <v>165</v>
      </c>
      <c r="B146" s="18">
        <v>675385</v>
      </c>
      <c r="C146" s="18">
        <v>120006</v>
      </c>
    </row>
    <row r="147" spans="1:3" x14ac:dyDescent="0.2">
      <c r="A147" s="55" t="s">
        <v>166</v>
      </c>
      <c r="B147" s="18">
        <v>675385</v>
      </c>
      <c r="C147" s="18">
        <v>120014</v>
      </c>
    </row>
    <row r="148" spans="1:3" x14ac:dyDescent="0.2">
      <c r="A148" s="55" t="s">
        <v>167</v>
      </c>
      <c r="B148" s="18">
        <v>675385</v>
      </c>
      <c r="C148" s="18">
        <v>120022</v>
      </c>
    </row>
    <row r="149" spans="1:3" x14ac:dyDescent="0.2">
      <c r="A149" s="55" t="s">
        <v>168</v>
      </c>
      <c r="B149" s="18">
        <v>675385</v>
      </c>
      <c r="C149" s="18">
        <v>120030</v>
      </c>
    </row>
    <row r="150" spans="1:3" x14ac:dyDescent="0.2">
      <c r="A150" s="55" t="s">
        <v>169</v>
      </c>
      <c r="B150" s="18">
        <v>675385</v>
      </c>
      <c r="C150" s="18">
        <v>120048</v>
      </c>
    </row>
    <row r="151" spans="1:3" x14ac:dyDescent="0.2">
      <c r="A151" s="55" t="s">
        <v>170</v>
      </c>
      <c r="B151" s="18">
        <v>675385</v>
      </c>
      <c r="C151" s="18">
        <v>120055</v>
      </c>
    </row>
    <row r="152" spans="1:3" x14ac:dyDescent="0.2">
      <c r="A152" s="55" t="s">
        <v>171</v>
      </c>
      <c r="B152" s="18">
        <v>675385</v>
      </c>
      <c r="C152" s="18">
        <v>120063</v>
      </c>
    </row>
    <row r="153" spans="1:3" x14ac:dyDescent="0.2">
      <c r="A153" s="55" t="s">
        <v>172</v>
      </c>
      <c r="B153" s="18">
        <v>675385</v>
      </c>
      <c r="C153" s="18">
        <v>120071</v>
      </c>
    </row>
    <row r="154" spans="1:3" x14ac:dyDescent="0.2">
      <c r="A154" s="55" t="s">
        <v>173</v>
      </c>
      <c r="B154" s="18">
        <v>675385</v>
      </c>
      <c r="C154" s="18">
        <v>120089</v>
      </c>
    </row>
    <row r="155" spans="1:3" x14ac:dyDescent="0.2">
      <c r="A155" s="55" t="s">
        <v>174</v>
      </c>
      <c r="B155" s="18">
        <v>675385</v>
      </c>
      <c r="C155" s="18">
        <v>120097</v>
      </c>
    </row>
    <row r="156" spans="1:3" x14ac:dyDescent="0.2">
      <c r="A156" s="55" t="s">
        <v>175</v>
      </c>
      <c r="B156" s="18">
        <v>675385</v>
      </c>
      <c r="C156" s="18">
        <v>120105</v>
      </c>
    </row>
    <row r="157" spans="1:3" x14ac:dyDescent="0.2">
      <c r="A157" s="55" t="s">
        <v>176</v>
      </c>
      <c r="B157" s="18">
        <v>675385</v>
      </c>
      <c r="C157" s="18">
        <v>120113</v>
      </c>
    </row>
    <row r="158" spans="1:3" x14ac:dyDescent="0.2">
      <c r="A158" s="55" t="s">
        <v>177</v>
      </c>
      <c r="B158" s="18">
        <v>675385</v>
      </c>
      <c r="C158" s="18">
        <v>120121</v>
      </c>
    </row>
    <row r="159" spans="1:3" ht="15.75" x14ac:dyDescent="0.25">
      <c r="A159" s="19" t="s">
        <v>178</v>
      </c>
      <c r="B159" s="18">
        <v>675385</v>
      </c>
      <c r="C159" s="18">
        <v>130005</v>
      </c>
    </row>
    <row r="160" spans="1:3" x14ac:dyDescent="0.2">
      <c r="A160" s="55" t="s">
        <v>179</v>
      </c>
      <c r="B160" s="18">
        <v>675385</v>
      </c>
      <c r="C160" s="18">
        <v>130013</v>
      </c>
    </row>
    <row r="161" spans="1:3" x14ac:dyDescent="0.2">
      <c r="A161" s="55" t="s">
        <v>180</v>
      </c>
      <c r="B161" s="18">
        <v>675385</v>
      </c>
      <c r="C161" s="18">
        <v>130021</v>
      </c>
    </row>
    <row r="162" spans="1:3" x14ac:dyDescent="0.2">
      <c r="A162" s="55" t="s">
        <v>181</v>
      </c>
      <c r="B162" s="18">
        <v>675385</v>
      </c>
      <c r="C162" s="18">
        <v>130039</v>
      </c>
    </row>
    <row r="163" spans="1:3" x14ac:dyDescent="0.2">
      <c r="A163" s="55" t="s">
        <v>182</v>
      </c>
      <c r="B163" s="18">
        <v>675385</v>
      </c>
      <c r="C163" s="18">
        <v>130047</v>
      </c>
    </row>
    <row r="164" spans="1:3" x14ac:dyDescent="0.2">
      <c r="A164" s="55" t="s">
        <v>183</v>
      </c>
      <c r="B164" s="18">
        <v>675385</v>
      </c>
      <c r="C164" s="18">
        <v>130054</v>
      </c>
    </row>
    <row r="165" spans="1:3" x14ac:dyDescent="0.2">
      <c r="A165" s="55" t="s">
        <v>184</v>
      </c>
      <c r="B165" s="18">
        <v>675385</v>
      </c>
      <c r="C165" s="18">
        <v>130062</v>
      </c>
    </row>
    <row r="166" spans="1:3" x14ac:dyDescent="0.2">
      <c r="A166" s="55" t="s">
        <v>185</v>
      </c>
      <c r="B166" s="18">
        <v>675385</v>
      </c>
      <c r="C166" s="18">
        <v>130070</v>
      </c>
    </row>
    <row r="167" spans="1:3" x14ac:dyDescent="0.2">
      <c r="A167" s="55" t="s">
        <v>186</v>
      </c>
      <c r="B167" s="18">
        <v>675385</v>
      </c>
      <c r="C167" s="18">
        <v>130088</v>
      </c>
    </row>
    <row r="168" spans="1:3" x14ac:dyDescent="0.2">
      <c r="A168" s="55" t="s">
        <v>187</v>
      </c>
      <c r="B168" s="18">
        <v>675385</v>
      </c>
      <c r="C168" s="18">
        <v>130096</v>
      </c>
    </row>
    <row r="169" spans="1:3" x14ac:dyDescent="0.2">
      <c r="A169" s="55" t="s">
        <v>188</v>
      </c>
      <c r="B169" s="18">
        <v>675385</v>
      </c>
      <c r="C169" s="18">
        <v>130104</v>
      </c>
    </row>
    <row r="170" spans="1:3" x14ac:dyDescent="0.2">
      <c r="A170" s="55" t="s">
        <v>189</v>
      </c>
      <c r="B170" s="18">
        <v>675385</v>
      </c>
      <c r="C170" s="18">
        <v>130112</v>
      </c>
    </row>
    <row r="171" spans="1:3" x14ac:dyDescent="0.2">
      <c r="A171" s="55" t="s">
        <v>190</v>
      </c>
      <c r="B171" s="18">
        <v>675385</v>
      </c>
      <c r="C171" s="18">
        <v>130120</v>
      </c>
    </row>
    <row r="172" spans="1:3" x14ac:dyDescent="0.2">
      <c r="A172" s="55" t="s">
        <v>191</v>
      </c>
      <c r="B172" s="18">
        <v>675385</v>
      </c>
      <c r="C172" s="18">
        <v>130138</v>
      </c>
    </row>
    <row r="173" spans="1:3" x14ac:dyDescent="0.2">
      <c r="A173" s="55" t="s">
        <v>192</v>
      </c>
      <c r="B173" s="18">
        <v>675385</v>
      </c>
      <c r="C173" s="18">
        <v>130146</v>
      </c>
    </row>
    <row r="174" spans="1:3" ht="15.75" x14ac:dyDescent="0.25">
      <c r="A174" s="19" t="s">
        <v>193</v>
      </c>
      <c r="B174" s="18">
        <v>675385</v>
      </c>
      <c r="C174" s="18">
        <v>140004</v>
      </c>
    </row>
    <row r="175" spans="1:3" x14ac:dyDescent="0.2">
      <c r="A175" s="55" t="s">
        <v>194</v>
      </c>
      <c r="B175" s="18">
        <v>675385</v>
      </c>
      <c r="C175" s="18">
        <v>140012</v>
      </c>
    </row>
    <row r="176" spans="1:3" x14ac:dyDescent="0.2">
      <c r="A176" s="55" t="s">
        <v>195</v>
      </c>
      <c r="B176" s="18">
        <v>675385</v>
      </c>
      <c r="C176" s="18">
        <v>140020</v>
      </c>
    </row>
    <row r="177" spans="1:3" x14ac:dyDescent="0.2">
      <c r="A177" s="55" t="s">
        <v>196</v>
      </c>
      <c r="B177" s="18">
        <v>675385</v>
      </c>
      <c r="C177" s="18">
        <v>140038</v>
      </c>
    </row>
    <row r="178" spans="1:3" x14ac:dyDescent="0.2">
      <c r="A178" s="55" t="s">
        <v>197</v>
      </c>
      <c r="B178" s="18">
        <v>675385</v>
      </c>
      <c r="C178" s="18">
        <v>140046</v>
      </c>
    </row>
    <row r="179" spans="1:3" x14ac:dyDescent="0.2">
      <c r="A179" s="55" t="s">
        <v>198</v>
      </c>
      <c r="B179" s="18">
        <v>675385</v>
      </c>
      <c r="C179" s="18">
        <v>140053</v>
      </c>
    </row>
    <row r="180" spans="1:3" x14ac:dyDescent="0.2">
      <c r="A180" s="55" t="s">
        <v>199</v>
      </c>
      <c r="B180" s="18">
        <v>675385</v>
      </c>
      <c r="C180" s="18">
        <v>140061</v>
      </c>
    </row>
    <row r="181" spans="1:3" x14ac:dyDescent="0.2">
      <c r="A181" s="55" t="s">
        <v>200</v>
      </c>
      <c r="B181" s="18">
        <v>675385</v>
      </c>
      <c r="C181" s="18">
        <v>140079</v>
      </c>
    </row>
    <row r="182" spans="1:3" x14ac:dyDescent="0.2">
      <c r="A182" s="55" t="s">
        <v>201</v>
      </c>
      <c r="B182" s="18">
        <v>675385</v>
      </c>
      <c r="C182" s="18">
        <v>140087</v>
      </c>
    </row>
    <row r="183" spans="1:3" x14ac:dyDescent="0.2">
      <c r="A183" s="55" t="s">
        <v>202</v>
      </c>
      <c r="B183" s="18">
        <v>675385</v>
      </c>
      <c r="C183" s="18">
        <v>140095</v>
      </c>
    </row>
    <row r="184" spans="1:3" x14ac:dyDescent="0.2">
      <c r="A184" s="55" t="s">
        <v>203</v>
      </c>
      <c r="B184" s="18">
        <v>675385</v>
      </c>
      <c r="C184" s="18">
        <v>140103</v>
      </c>
    </row>
    <row r="185" spans="1:3" x14ac:dyDescent="0.2">
      <c r="A185" s="55" t="s">
        <v>204</v>
      </c>
      <c r="B185" s="18">
        <v>675385</v>
      </c>
      <c r="C185" s="18">
        <v>140111</v>
      </c>
    </row>
    <row r="186" spans="1:3" x14ac:dyDescent="0.2">
      <c r="A186" s="55" t="s">
        <v>205</v>
      </c>
      <c r="B186" s="18">
        <v>675385</v>
      </c>
      <c r="C186" s="18">
        <v>140129</v>
      </c>
    </row>
    <row r="187" spans="1:3" x14ac:dyDescent="0.2">
      <c r="A187" s="55" t="s">
        <v>206</v>
      </c>
      <c r="B187" s="18">
        <v>675385</v>
      </c>
      <c r="C187" s="18">
        <v>140137</v>
      </c>
    </row>
    <row r="188" spans="1:3" x14ac:dyDescent="0.2">
      <c r="A188" s="55" t="s">
        <v>207</v>
      </c>
      <c r="B188" s="18">
        <v>675385</v>
      </c>
      <c r="C188" s="18">
        <v>140145</v>
      </c>
    </row>
    <row r="189" spans="1:3" x14ac:dyDescent="0.2">
      <c r="A189" s="55" t="s">
        <v>208</v>
      </c>
      <c r="B189" s="18">
        <v>675385</v>
      </c>
      <c r="C189" s="18">
        <v>140152</v>
      </c>
    </row>
    <row r="190" spans="1:3" x14ac:dyDescent="0.2">
      <c r="A190" s="55" t="s">
        <v>209</v>
      </c>
      <c r="B190" s="18">
        <v>675385</v>
      </c>
      <c r="C190" s="18">
        <v>140160</v>
      </c>
    </row>
    <row r="191" spans="1:3" x14ac:dyDescent="0.2">
      <c r="A191" s="55" t="s">
        <v>210</v>
      </c>
      <c r="B191" s="18">
        <v>675385</v>
      </c>
      <c r="C191" s="18">
        <v>140178</v>
      </c>
    </row>
    <row r="192" spans="1:3" x14ac:dyDescent="0.2">
      <c r="A192" s="55" t="s">
        <v>211</v>
      </c>
      <c r="B192" s="18">
        <v>675385</v>
      </c>
      <c r="C192" s="18">
        <v>140186</v>
      </c>
    </row>
    <row r="193" spans="1:3" x14ac:dyDescent="0.2">
      <c r="A193" s="55" t="s">
        <v>212</v>
      </c>
      <c r="B193" s="18">
        <v>675385</v>
      </c>
      <c r="C193" s="18">
        <v>140194</v>
      </c>
    </row>
    <row r="194" spans="1:3" x14ac:dyDescent="0.2">
      <c r="A194" s="55" t="s">
        <v>213</v>
      </c>
      <c r="B194" s="18">
        <v>675385</v>
      </c>
      <c r="C194" s="18">
        <v>140202</v>
      </c>
    </row>
    <row r="195" spans="1:3" x14ac:dyDescent="0.2">
      <c r="A195" s="55" t="s">
        <v>214</v>
      </c>
      <c r="B195" s="18">
        <v>675385</v>
      </c>
      <c r="C195" s="18">
        <v>140210</v>
      </c>
    </row>
    <row r="196" spans="1:3" x14ac:dyDescent="0.2">
      <c r="A196" s="55" t="s">
        <v>215</v>
      </c>
      <c r="B196" s="18">
        <v>675385</v>
      </c>
      <c r="C196" s="18">
        <v>140228</v>
      </c>
    </row>
    <row r="197" spans="1:3" x14ac:dyDescent="0.2">
      <c r="A197" s="55" t="s">
        <v>216</v>
      </c>
      <c r="B197" s="18">
        <v>675385</v>
      </c>
      <c r="C197" s="18">
        <v>140236</v>
      </c>
    </row>
    <row r="198" spans="1:3" x14ac:dyDescent="0.2">
      <c r="A198" s="55" t="s">
        <v>217</v>
      </c>
      <c r="B198" s="18">
        <v>675385</v>
      </c>
      <c r="C198" s="18">
        <v>140244</v>
      </c>
    </row>
    <row r="199" spans="1:3" x14ac:dyDescent="0.2">
      <c r="A199" s="55" t="s">
        <v>218</v>
      </c>
      <c r="B199" s="18">
        <v>675385</v>
      </c>
      <c r="C199" s="18">
        <v>140251</v>
      </c>
    </row>
    <row r="200" spans="1:3" x14ac:dyDescent="0.2">
      <c r="A200" s="55" t="s">
        <v>219</v>
      </c>
      <c r="B200" s="18">
        <v>675385</v>
      </c>
      <c r="C200" s="18">
        <v>140269</v>
      </c>
    </row>
    <row r="201" spans="1:3" x14ac:dyDescent="0.2">
      <c r="A201" s="55" t="s">
        <v>220</v>
      </c>
      <c r="B201" s="18">
        <v>675385</v>
      </c>
      <c r="C201" s="18">
        <v>140277</v>
      </c>
    </row>
    <row r="202" spans="1:3" x14ac:dyDescent="0.2">
      <c r="A202" s="55" t="s">
        <v>221</v>
      </c>
      <c r="B202" s="18">
        <v>675385</v>
      </c>
      <c r="C202" s="18">
        <v>140285</v>
      </c>
    </row>
    <row r="203" spans="1:3" x14ac:dyDescent="0.2">
      <c r="A203" s="55" t="s">
        <v>222</v>
      </c>
      <c r="B203" s="18">
        <v>675385</v>
      </c>
      <c r="C203" s="18">
        <v>140293</v>
      </c>
    </row>
    <row r="204" spans="1:3" x14ac:dyDescent="0.2">
      <c r="A204" s="55" t="s">
        <v>223</v>
      </c>
      <c r="B204" s="18">
        <v>675385</v>
      </c>
      <c r="C204" s="18">
        <v>140301</v>
      </c>
    </row>
    <row r="205" spans="1:3" x14ac:dyDescent="0.2">
      <c r="A205" s="55" t="s">
        <v>224</v>
      </c>
      <c r="B205" s="18">
        <v>675385</v>
      </c>
      <c r="C205" s="18">
        <v>140319</v>
      </c>
    </row>
    <row r="206" spans="1:3" x14ac:dyDescent="0.2">
      <c r="A206" s="55" t="s">
        <v>225</v>
      </c>
      <c r="B206" s="18">
        <v>675385</v>
      </c>
      <c r="C206" s="18">
        <v>140327</v>
      </c>
    </row>
    <row r="207" spans="1:3" x14ac:dyDescent="0.2">
      <c r="A207" s="55" t="s">
        <v>226</v>
      </c>
      <c r="B207" s="18">
        <v>675385</v>
      </c>
      <c r="C207" s="18">
        <v>140335</v>
      </c>
    </row>
    <row r="208" spans="1:3" x14ac:dyDescent="0.2">
      <c r="A208" s="55" t="s">
        <v>227</v>
      </c>
      <c r="B208" s="18">
        <v>675385</v>
      </c>
      <c r="C208" s="18">
        <v>140343</v>
      </c>
    </row>
    <row r="209" spans="1:3" x14ac:dyDescent="0.2">
      <c r="A209" s="55" t="s">
        <v>228</v>
      </c>
      <c r="B209" s="18">
        <v>675385</v>
      </c>
      <c r="C209" s="18">
        <v>140350</v>
      </c>
    </row>
    <row r="210" spans="1:3" x14ac:dyDescent="0.2">
      <c r="A210" s="55" t="s">
        <v>229</v>
      </c>
      <c r="B210" s="18">
        <v>675385</v>
      </c>
      <c r="C210" s="18">
        <v>140368</v>
      </c>
    </row>
    <row r="211" spans="1:3" x14ac:dyDescent="0.2">
      <c r="A211" s="55" t="s">
        <v>230</v>
      </c>
      <c r="B211" s="18">
        <v>675385</v>
      </c>
      <c r="C211" s="18">
        <v>140376</v>
      </c>
    </row>
    <row r="212" spans="1:3" x14ac:dyDescent="0.2">
      <c r="A212" s="55" t="s">
        <v>231</v>
      </c>
      <c r="B212" s="18">
        <v>675385</v>
      </c>
      <c r="C212" s="18">
        <v>140384</v>
      </c>
    </row>
    <row r="213" spans="1:3" x14ac:dyDescent="0.2">
      <c r="A213" s="55" t="s">
        <v>232</v>
      </c>
      <c r="B213" s="18">
        <v>675385</v>
      </c>
      <c r="C213" s="18">
        <v>140392</v>
      </c>
    </row>
    <row r="214" spans="1:3" x14ac:dyDescent="0.2">
      <c r="A214" s="55" t="s">
        <v>233</v>
      </c>
      <c r="B214" s="18">
        <v>675385</v>
      </c>
      <c r="C214" s="18">
        <v>140400</v>
      </c>
    </row>
    <row r="215" spans="1:3" ht="15.75" x14ac:dyDescent="0.25">
      <c r="A215" s="19" t="s">
        <v>234</v>
      </c>
      <c r="B215" s="18">
        <v>675385</v>
      </c>
      <c r="C215" s="18">
        <v>150003</v>
      </c>
    </row>
    <row r="216" spans="1:3" x14ac:dyDescent="0.2">
      <c r="A216" s="55" t="s">
        <v>235</v>
      </c>
      <c r="B216" s="18">
        <v>675385</v>
      </c>
      <c r="C216" s="18">
        <v>150011</v>
      </c>
    </row>
    <row r="217" spans="1:3" x14ac:dyDescent="0.2">
      <c r="A217" s="55" t="s">
        <v>236</v>
      </c>
      <c r="B217" s="18">
        <v>675385</v>
      </c>
      <c r="C217" s="18">
        <v>150029</v>
      </c>
    </row>
    <row r="218" spans="1:3" x14ac:dyDescent="0.2">
      <c r="A218" s="55" t="s">
        <v>237</v>
      </c>
      <c r="B218" s="18">
        <v>675385</v>
      </c>
      <c r="C218" s="18">
        <v>150037</v>
      </c>
    </row>
    <row r="219" spans="1:3" x14ac:dyDescent="0.2">
      <c r="A219" s="55" t="s">
        <v>238</v>
      </c>
      <c r="B219" s="18">
        <v>675385</v>
      </c>
      <c r="C219" s="18">
        <v>150045</v>
      </c>
    </row>
    <row r="220" spans="1:3" x14ac:dyDescent="0.2">
      <c r="A220" s="55" t="s">
        <v>239</v>
      </c>
      <c r="B220" s="18">
        <v>675385</v>
      </c>
      <c r="C220" s="18">
        <v>150052</v>
      </c>
    </row>
    <row r="221" spans="1:3" x14ac:dyDescent="0.2">
      <c r="A221" s="55" t="s">
        <v>240</v>
      </c>
      <c r="B221" s="18">
        <v>675385</v>
      </c>
      <c r="C221" s="18">
        <v>150060</v>
      </c>
    </row>
    <row r="222" spans="1:3" x14ac:dyDescent="0.2">
      <c r="A222" s="55" t="s">
        <v>241</v>
      </c>
      <c r="B222" s="18">
        <v>675385</v>
      </c>
      <c r="C222" s="18">
        <v>150078</v>
      </c>
    </row>
    <row r="223" spans="1:3" x14ac:dyDescent="0.2">
      <c r="A223" s="55" t="s">
        <v>242</v>
      </c>
      <c r="B223" s="18">
        <v>675385</v>
      </c>
      <c r="C223" s="18">
        <v>150086</v>
      </c>
    </row>
    <row r="224" spans="1:3" x14ac:dyDescent="0.2">
      <c r="A224" s="55" t="s">
        <v>243</v>
      </c>
      <c r="B224" s="18">
        <v>675385</v>
      </c>
      <c r="C224" s="18">
        <v>150094</v>
      </c>
    </row>
    <row r="225" spans="1:3" x14ac:dyDescent="0.2">
      <c r="A225" s="55" t="s">
        <v>244</v>
      </c>
      <c r="B225" s="18">
        <v>675385</v>
      </c>
      <c r="C225" s="18">
        <v>150102</v>
      </c>
    </row>
    <row r="226" spans="1:3" x14ac:dyDescent="0.2">
      <c r="A226" s="55" t="s">
        <v>245</v>
      </c>
      <c r="B226" s="18">
        <v>675385</v>
      </c>
      <c r="C226" s="18">
        <v>150110</v>
      </c>
    </row>
    <row r="227" spans="1:3" x14ac:dyDescent="0.2">
      <c r="A227" s="55" t="s">
        <v>246</v>
      </c>
      <c r="B227" s="18">
        <v>675385</v>
      </c>
      <c r="C227" s="18">
        <v>150128</v>
      </c>
    </row>
    <row r="228" spans="1:3" x14ac:dyDescent="0.2">
      <c r="A228" s="55" t="s">
        <v>247</v>
      </c>
      <c r="B228" s="18">
        <v>675385</v>
      </c>
      <c r="C228" s="18">
        <v>150136</v>
      </c>
    </row>
    <row r="229" spans="1:3" x14ac:dyDescent="0.2">
      <c r="A229" s="55" t="s">
        <v>248</v>
      </c>
      <c r="B229" s="18">
        <v>675385</v>
      </c>
      <c r="C229" s="18">
        <v>150144</v>
      </c>
    </row>
    <row r="230" spans="1:3" x14ac:dyDescent="0.2">
      <c r="A230" s="55" t="s">
        <v>249</v>
      </c>
      <c r="B230" s="18">
        <v>675385</v>
      </c>
      <c r="C230" s="18">
        <v>150151</v>
      </c>
    </row>
    <row r="231" spans="1:3" x14ac:dyDescent="0.2">
      <c r="A231" s="55" t="s">
        <v>250</v>
      </c>
      <c r="B231" s="18">
        <v>675385</v>
      </c>
      <c r="C231" s="18">
        <v>150169</v>
      </c>
    </row>
    <row r="232" spans="1:3" x14ac:dyDescent="0.2">
      <c r="A232" s="55" t="s">
        <v>251</v>
      </c>
      <c r="B232" s="18">
        <v>675385</v>
      </c>
      <c r="C232" s="18">
        <v>150177</v>
      </c>
    </row>
    <row r="233" spans="1:3" x14ac:dyDescent="0.2">
      <c r="A233" s="55" t="s">
        <v>252</v>
      </c>
      <c r="B233" s="18">
        <v>675385</v>
      </c>
      <c r="C233" s="18">
        <v>150185</v>
      </c>
    </row>
    <row r="234" spans="1:3" x14ac:dyDescent="0.2">
      <c r="A234" s="55" t="s">
        <v>253</v>
      </c>
      <c r="B234" s="18">
        <v>675385</v>
      </c>
      <c r="C234" s="18">
        <v>150193</v>
      </c>
    </row>
    <row r="235" spans="1:3" x14ac:dyDescent="0.2">
      <c r="A235" s="55" t="s">
        <v>254</v>
      </c>
      <c r="B235" s="18">
        <v>675385</v>
      </c>
      <c r="C235" s="18">
        <v>150201</v>
      </c>
    </row>
    <row r="236" spans="1:3" x14ac:dyDescent="0.2">
      <c r="A236" s="55" t="s">
        <v>255</v>
      </c>
      <c r="B236" s="18">
        <v>675385</v>
      </c>
      <c r="C236" s="18">
        <v>150219</v>
      </c>
    </row>
    <row r="237" spans="1:3" x14ac:dyDescent="0.2">
      <c r="A237" s="55" t="s">
        <v>256</v>
      </c>
      <c r="B237" s="18">
        <v>675385</v>
      </c>
      <c r="C237" s="18">
        <v>150227</v>
      </c>
    </row>
    <row r="238" spans="1:3" x14ac:dyDescent="0.2">
      <c r="A238" s="55" t="s">
        <v>257</v>
      </c>
      <c r="B238" s="18">
        <v>675385</v>
      </c>
      <c r="C238" s="18">
        <v>150235</v>
      </c>
    </row>
    <row r="239" spans="1:3" x14ac:dyDescent="0.2">
      <c r="A239" s="55" t="s">
        <v>258</v>
      </c>
      <c r="B239" s="18">
        <v>675385</v>
      </c>
      <c r="C239" s="18">
        <v>150268</v>
      </c>
    </row>
    <row r="240" spans="1:3" x14ac:dyDescent="0.2">
      <c r="A240" s="55" t="s">
        <v>259</v>
      </c>
      <c r="B240" s="18">
        <v>675385</v>
      </c>
      <c r="C240" s="18">
        <v>150276</v>
      </c>
    </row>
    <row r="241" spans="1:3" x14ac:dyDescent="0.2">
      <c r="A241" s="55" t="s">
        <v>260</v>
      </c>
      <c r="B241" s="18">
        <v>675385</v>
      </c>
      <c r="C241" s="18">
        <v>150284</v>
      </c>
    </row>
    <row r="242" spans="1:3" x14ac:dyDescent="0.2">
      <c r="A242" s="55" t="s">
        <v>261</v>
      </c>
      <c r="B242" s="18">
        <v>675385</v>
      </c>
      <c r="C242" s="18">
        <v>150292</v>
      </c>
    </row>
    <row r="243" spans="1:3" x14ac:dyDescent="0.2">
      <c r="A243" s="55" t="s">
        <v>262</v>
      </c>
      <c r="B243" s="18">
        <v>675385</v>
      </c>
      <c r="C243" s="18">
        <v>150300</v>
      </c>
    </row>
    <row r="244" spans="1:3" x14ac:dyDescent="0.2">
      <c r="A244" s="55" t="s">
        <v>263</v>
      </c>
      <c r="B244" s="18">
        <v>675385</v>
      </c>
      <c r="C244" s="18">
        <v>150318</v>
      </c>
    </row>
    <row r="245" spans="1:3" x14ac:dyDescent="0.2">
      <c r="A245" s="55" t="s">
        <v>264</v>
      </c>
      <c r="B245" s="18">
        <v>675385</v>
      </c>
      <c r="C245" s="18">
        <v>150326</v>
      </c>
    </row>
    <row r="246" spans="1:3" ht="15.75" x14ac:dyDescent="0.25">
      <c r="A246" s="19" t="s">
        <v>265</v>
      </c>
      <c r="B246" s="18">
        <v>675385</v>
      </c>
      <c r="C246" s="18">
        <v>160002</v>
      </c>
    </row>
    <row r="247" spans="1:3" x14ac:dyDescent="0.2">
      <c r="A247" s="55" t="s">
        <v>266</v>
      </c>
      <c r="B247" s="18">
        <v>675385</v>
      </c>
      <c r="C247" s="18">
        <v>160010</v>
      </c>
    </row>
    <row r="248" spans="1:3" x14ac:dyDescent="0.2">
      <c r="A248" s="55" t="s">
        <v>267</v>
      </c>
      <c r="B248" s="18">
        <v>675385</v>
      </c>
      <c r="C248" s="18">
        <v>160028</v>
      </c>
    </row>
    <row r="249" spans="1:3" x14ac:dyDescent="0.2">
      <c r="A249" s="55" t="s">
        <v>268</v>
      </c>
      <c r="B249" s="18">
        <v>675385</v>
      </c>
      <c r="C249" s="18">
        <v>160036</v>
      </c>
    </row>
    <row r="250" spans="1:3" x14ac:dyDescent="0.2">
      <c r="A250" s="55" t="s">
        <v>269</v>
      </c>
      <c r="B250" s="18">
        <v>675385</v>
      </c>
      <c r="C250" s="18">
        <v>160044</v>
      </c>
    </row>
    <row r="251" spans="1:3" x14ac:dyDescent="0.2">
      <c r="A251" s="55" t="s">
        <v>270</v>
      </c>
      <c r="B251" s="18">
        <v>675385</v>
      </c>
      <c r="C251" s="18">
        <v>160051</v>
      </c>
    </row>
    <row r="252" spans="1:3" x14ac:dyDescent="0.2">
      <c r="A252" s="55" t="s">
        <v>271</v>
      </c>
      <c r="B252" s="18">
        <v>675385</v>
      </c>
      <c r="C252" s="18">
        <v>160069</v>
      </c>
    </row>
    <row r="253" spans="1:3" x14ac:dyDescent="0.2">
      <c r="A253" s="55" t="s">
        <v>272</v>
      </c>
      <c r="B253" s="18">
        <v>675385</v>
      </c>
      <c r="C253" s="18">
        <v>160077</v>
      </c>
    </row>
    <row r="254" spans="1:3" x14ac:dyDescent="0.2">
      <c r="A254" s="55" t="s">
        <v>273</v>
      </c>
      <c r="B254" s="18">
        <v>675385</v>
      </c>
      <c r="C254" s="18">
        <v>160085</v>
      </c>
    </row>
    <row r="255" spans="1:3" x14ac:dyDescent="0.2">
      <c r="A255" s="55" t="s">
        <v>274</v>
      </c>
      <c r="B255" s="18">
        <v>675385</v>
      </c>
      <c r="C255" s="18">
        <v>160093</v>
      </c>
    </row>
    <row r="256" spans="1:3" x14ac:dyDescent="0.2">
      <c r="A256" s="55" t="s">
        <v>275</v>
      </c>
      <c r="B256" s="18">
        <v>675385</v>
      </c>
      <c r="C256" s="18">
        <v>160101</v>
      </c>
    </row>
    <row r="257" spans="1:3" x14ac:dyDescent="0.2">
      <c r="A257" s="55" t="s">
        <v>276</v>
      </c>
      <c r="B257" s="18">
        <v>675385</v>
      </c>
      <c r="C257" s="18">
        <v>160119</v>
      </c>
    </row>
    <row r="258" spans="1:3" x14ac:dyDescent="0.2">
      <c r="A258" s="55" t="s">
        <v>277</v>
      </c>
      <c r="B258" s="18">
        <v>675385</v>
      </c>
      <c r="C258" s="18">
        <v>160127</v>
      </c>
    </row>
    <row r="259" spans="1:3" x14ac:dyDescent="0.2">
      <c r="A259" s="55" t="s">
        <v>278</v>
      </c>
      <c r="B259" s="18">
        <v>675385</v>
      </c>
      <c r="C259" s="18">
        <v>160135</v>
      </c>
    </row>
    <row r="260" spans="1:3" x14ac:dyDescent="0.2">
      <c r="A260" s="55" t="s">
        <v>279</v>
      </c>
      <c r="B260" s="18">
        <v>675385</v>
      </c>
      <c r="C260" s="18">
        <v>160143</v>
      </c>
    </row>
    <row r="261" spans="1:3" x14ac:dyDescent="0.2">
      <c r="A261" s="55" t="s">
        <v>280</v>
      </c>
      <c r="B261" s="18">
        <v>675385</v>
      </c>
      <c r="C261" s="18">
        <v>160150</v>
      </c>
    </row>
    <row r="262" spans="1:3" x14ac:dyDescent="0.2">
      <c r="A262" s="55" t="s">
        <v>281</v>
      </c>
      <c r="B262" s="18">
        <v>675385</v>
      </c>
      <c r="C262" s="18">
        <v>160168</v>
      </c>
    </row>
    <row r="263" spans="1:3" x14ac:dyDescent="0.2">
      <c r="A263" s="55" t="s">
        <v>282</v>
      </c>
      <c r="B263" s="18">
        <v>675385</v>
      </c>
      <c r="C263" s="18">
        <v>160176</v>
      </c>
    </row>
    <row r="264" spans="1:3" x14ac:dyDescent="0.2">
      <c r="A264" s="55" t="s">
        <v>283</v>
      </c>
      <c r="B264" s="18">
        <v>675385</v>
      </c>
      <c r="C264" s="18">
        <v>160184</v>
      </c>
    </row>
    <row r="265" spans="1:3" x14ac:dyDescent="0.2">
      <c r="A265" s="55" t="s">
        <v>284</v>
      </c>
      <c r="B265" s="18">
        <v>675385</v>
      </c>
      <c r="C265" s="18">
        <v>160192</v>
      </c>
    </row>
    <row r="266" spans="1:3" x14ac:dyDescent="0.2">
      <c r="A266" s="55" t="s">
        <v>285</v>
      </c>
      <c r="B266" s="18">
        <v>675385</v>
      </c>
      <c r="C266" s="18">
        <v>160200</v>
      </c>
    </row>
    <row r="267" spans="1:3" ht="15.75" x14ac:dyDescent="0.25">
      <c r="A267" s="19" t="s">
        <v>286</v>
      </c>
      <c r="B267" s="18">
        <v>675385</v>
      </c>
      <c r="C267" s="18">
        <v>170001</v>
      </c>
    </row>
    <row r="268" spans="1:3" x14ac:dyDescent="0.2">
      <c r="A268" s="55" t="s">
        <v>287</v>
      </c>
      <c r="B268" s="18">
        <v>675385</v>
      </c>
      <c r="C268" s="18">
        <v>170019</v>
      </c>
    </row>
    <row r="269" spans="1:3" x14ac:dyDescent="0.2">
      <c r="A269" s="55" t="s">
        <v>288</v>
      </c>
      <c r="B269" s="18">
        <v>675385</v>
      </c>
      <c r="C269" s="18">
        <v>170027</v>
      </c>
    </row>
    <row r="270" spans="1:3" x14ac:dyDescent="0.2">
      <c r="A270" s="55" t="s">
        <v>289</v>
      </c>
      <c r="B270" s="18">
        <v>675385</v>
      </c>
      <c r="C270" s="18">
        <v>170035</v>
      </c>
    </row>
    <row r="271" spans="1:3" ht="15.75" x14ac:dyDescent="0.25">
      <c r="A271" s="19" t="s">
        <v>290</v>
      </c>
      <c r="B271" s="18">
        <v>675385</v>
      </c>
      <c r="C271" s="18">
        <v>180000</v>
      </c>
    </row>
    <row r="272" spans="1:3" x14ac:dyDescent="0.2">
      <c r="A272" s="55" t="s">
        <v>291</v>
      </c>
      <c r="B272" s="18">
        <v>675385</v>
      </c>
      <c r="C272" s="18">
        <v>180018</v>
      </c>
    </row>
    <row r="273" spans="1:3" x14ac:dyDescent="0.2">
      <c r="A273" s="55" t="s">
        <v>292</v>
      </c>
      <c r="B273" s="18">
        <v>675385</v>
      </c>
      <c r="C273" s="18">
        <v>180026</v>
      </c>
    </row>
    <row r="274" spans="1:3" x14ac:dyDescent="0.2">
      <c r="A274" s="55" t="s">
        <v>293</v>
      </c>
      <c r="B274" s="18">
        <v>675385</v>
      </c>
      <c r="C274" s="18">
        <v>180034</v>
      </c>
    </row>
    <row r="275" spans="1:3" x14ac:dyDescent="0.2">
      <c r="A275" s="55" t="s">
        <v>294</v>
      </c>
      <c r="B275" s="18">
        <v>675385</v>
      </c>
      <c r="C275" s="18">
        <v>180042</v>
      </c>
    </row>
    <row r="276" spans="1:3" x14ac:dyDescent="0.2">
      <c r="A276" s="55" t="s">
        <v>295</v>
      </c>
      <c r="B276" s="18">
        <v>675385</v>
      </c>
      <c r="C276" s="18">
        <v>180059</v>
      </c>
    </row>
    <row r="277" spans="1:3" x14ac:dyDescent="0.2">
      <c r="A277" s="55" t="s">
        <v>296</v>
      </c>
      <c r="B277" s="18">
        <v>675385</v>
      </c>
      <c r="C277" s="18">
        <v>180067</v>
      </c>
    </row>
    <row r="278" spans="1:3" ht="15.75" x14ac:dyDescent="0.25">
      <c r="A278" s="19" t="s">
        <v>297</v>
      </c>
      <c r="B278" s="18">
        <v>675385</v>
      </c>
      <c r="C278" s="18">
        <v>190009</v>
      </c>
    </row>
    <row r="279" spans="1:3" x14ac:dyDescent="0.2">
      <c r="A279" s="55" t="s">
        <v>298</v>
      </c>
      <c r="B279" s="18">
        <v>675385</v>
      </c>
      <c r="C279" s="18">
        <v>190017</v>
      </c>
    </row>
    <row r="280" spans="1:3" x14ac:dyDescent="0.2">
      <c r="A280" s="55" t="s">
        <v>299</v>
      </c>
      <c r="B280" s="18">
        <v>675385</v>
      </c>
      <c r="C280" s="18">
        <v>190025</v>
      </c>
    </row>
    <row r="281" spans="1:3" x14ac:dyDescent="0.2">
      <c r="A281" s="55" t="s">
        <v>300</v>
      </c>
      <c r="B281" s="18">
        <v>675385</v>
      </c>
      <c r="C281" s="18">
        <v>190033</v>
      </c>
    </row>
    <row r="282" spans="1:3" x14ac:dyDescent="0.2">
      <c r="A282" s="55" t="s">
        <v>301</v>
      </c>
      <c r="B282" s="18">
        <v>675385</v>
      </c>
      <c r="C282" s="18">
        <v>190041</v>
      </c>
    </row>
    <row r="283" spans="1:3" x14ac:dyDescent="0.2">
      <c r="A283" s="55" t="s">
        <v>302</v>
      </c>
      <c r="B283" s="18">
        <v>675385</v>
      </c>
      <c r="C283" s="18">
        <v>190058</v>
      </c>
    </row>
    <row r="284" spans="1:3" x14ac:dyDescent="0.2">
      <c r="A284" s="55" t="s">
        <v>303</v>
      </c>
      <c r="B284" s="18">
        <v>675385</v>
      </c>
      <c r="C284" s="18">
        <v>190066</v>
      </c>
    </row>
    <row r="285" spans="1:3" x14ac:dyDescent="0.2">
      <c r="A285" s="55" t="s">
        <v>304</v>
      </c>
      <c r="B285" s="18">
        <v>675385</v>
      </c>
      <c r="C285" s="18">
        <v>190074</v>
      </c>
    </row>
    <row r="286" spans="1:3" x14ac:dyDescent="0.2">
      <c r="A286" s="55" t="s">
        <v>305</v>
      </c>
      <c r="B286" s="18">
        <v>675385</v>
      </c>
      <c r="C286" s="18">
        <v>190082</v>
      </c>
    </row>
    <row r="287" spans="1:3" ht="15.75" x14ac:dyDescent="0.25">
      <c r="A287" s="19" t="s">
        <v>306</v>
      </c>
      <c r="B287" s="18">
        <v>675385</v>
      </c>
      <c r="C287" s="18">
        <v>200006</v>
      </c>
    </row>
    <row r="288" spans="1:3" x14ac:dyDescent="0.2">
      <c r="A288" s="55" t="s">
        <v>307</v>
      </c>
      <c r="B288" s="18">
        <v>675385</v>
      </c>
      <c r="C288" s="18">
        <v>200014</v>
      </c>
    </row>
    <row r="289" spans="1:3" x14ac:dyDescent="0.2">
      <c r="A289" s="55" t="s">
        <v>308</v>
      </c>
      <c r="B289" s="18">
        <v>675385</v>
      </c>
      <c r="C289" s="18">
        <v>200022</v>
      </c>
    </row>
    <row r="290" spans="1:3" x14ac:dyDescent="0.2">
      <c r="A290" s="55" t="s">
        <v>309</v>
      </c>
      <c r="B290" s="18">
        <v>675385</v>
      </c>
      <c r="C290" s="18">
        <v>200030</v>
      </c>
    </row>
    <row r="291" spans="1:3" x14ac:dyDescent="0.2">
      <c r="A291" s="55" t="s">
        <v>310</v>
      </c>
      <c r="B291" s="18">
        <v>675385</v>
      </c>
      <c r="C291" s="18">
        <v>200048</v>
      </c>
    </row>
    <row r="292" spans="1:3" x14ac:dyDescent="0.2">
      <c r="A292" s="55" t="s">
        <v>311</v>
      </c>
      <c r="B292" s="18">
        <v>675385</v>
      </c>
      <c r="C292" s="18">
        <v>200055</v>
      </c>
    </row>
    <row r="293" spans="1:3" x14ac:dyDescent="0.2">
      <c r="A293" s="55" t="s">
        <v>312</v>
      </c>
      <c r="B293" s="18">
        <v>675385</v>
      </c>
      <c r="C293" s="18">
        <v>200063</v>
      </c>
    </row>
    <row r="294" spans="1:3" x14ac:dyDescent="0.2">
      <c r="A294" s="55" t="s">
        <v>313</v>
      </c>
      <c r="B294" s="18">
        <v>675385</v>
      </c>
      <c r="C294" s="18">
        <v>200071</v>
      </c>
    </row>
    <row r="295" spans="1:3" x14ac:dyDescent="0.2">
      <c r="A295" s="55" t="s">
        <v>314</v>
      </c>
      <c r="B295" s="18">
        <v>675385</v>
      </c>
      <c r="C295" s="18">
        <v>200089</v>
      </c>
    </row>
    <row r="296" spans="1:3" x14ac:dyDescent="0.2">
      <c r="A296" s="55" t="s">
        <v>315</v>
      </c>
      <c r="B296" s="18">
        <v>675385</v>
      </c>
      <c r="C296" s="18">
        <v>200097</v>
      </c>
    </row>
    <row r="297" spans="1:3" x14ac:dyDescent="0.2">
      <c r="A297" s="55" t="s">
        <v>316</v>
      </c>
      <c r="B297" s="18">
        <v>675385</v>
      </c>
      <c r="C297" s="18">
        <v>200105</v>
      </c>
    </row>
    <row r="298" spans="1:3" ht="15.75" x14ac:dyDescent="0.25">
      <c r="A298" s="19" t="s">
        <v>317</v>
      </c>
      <c r="B298" s="18">
        <v>675385</v>
      </c>
      <c r="C298" s="18">
        <v>210005</v>
      </c>
    </row>
    <row r="299" spans="1:3" x14ac:dyDescent="0.2">
      <c r="A299" s="55" t="s">
        <v>318</v>
      </c>
      <c r="B299" s="18">
        <v>675385</v>
      </c>
      <c r="C299" s="18">
        <v>210013</v>
      </c>
    </row>
    <row r="300" spans="1:3" x14ac:dyDescent="0.2">
      <c r="A300" s="55" t="s">
        <v>319</v>
      </c>
      <c r="B300" s="18">
        <v>675385</v>
      </c>
      <c r="C300" s="18">
        <v>210021</v>
      </c>
    </row>
    <row r="301" spans="1:3" x14ac:dyDescent="0.2">
      <c r="A301" s="55" t="s">
        <v>320</v>
      </c>
      <c r="B301" s="18">
        <v>675385</v>
      </c>
      <c r="C301" s="18">
        <v>210039</v>
      </c>
    </row>
    <row r="302" spans="1:3" x14ac:dyDescent="0.2">
      <c r="A302" s="55" t="s">
        <v>321</v>
      </c>
      <c r="B302" s="18">
        <v>675385</v>
      </c>
      <c r="C302" s="18">
        <v>210047</v>
      </c>
    </row>
    <row r="303" spans="1:3" x14ac:dyDescent="0.2">
      <c r="A303" s="55" t="s">
        <v>322</v>
      </c>
      <c r="B303" s="18">
        <v>675385</v>
      </c>
      <c r="C303" s="18">
        <v>210054</v>
      </c>
    </row>
    <row r="304" spans="1:3" x14ac:dyDescent="0.2">
      <c r="A304" s="55" t="s">
        <v>323</v>
      </c>
      <c r="B304" s="18">
        <v>675385</v>
      </c>
      <c r="C304" s="18">
        <v>210062</v>
      </c>
    </row>
    <row r="305" spans="1:3" x14ac:dyDescent="0.2">
      <c r="A305" s="55" t="s">
        <v>324</v>
      </c>
      <c r="B305" s="18">
        <v>675385</v>
      </c>
      <c r="C305" s="18">
        <v>210070</v>
      </c>
    </row>
    <row r="306" spans="1:3" x14ac:dyDescent="0.2">
      <c r="A306" s="55" t="s">
        <v>325</v>
      </c>
      <c r="B306" s="18">
        <v>675385</v>
      </c>
      <c r="C306" s="18">
        <v>210088</v>
      </c>
    </row>
    <row r="307" spans="1:3" x14ac:dyDescent="0.2">
      <c r="A307" s="55" t="s">
        <v>326</v>
      </c>
      <c r="B307" s="18">
        <v>675385</v>
      </c>
      <c r="C307" s="18">
        <v>210096</v>
      </c>
    </row>
    <row r="308" spans="1:3" x14ac:dyDescent="0.2">
      <c r="A308" s="55" t="s">
        <v>327</v>
      </c>
      <c r="B308" s="18">
        <v>675385</v>
      </c>
      <c r="C308" s="18">
        <v>210104</v>
      </c>
    </row>
    <row r="309" spans="1:3" x14ac:dyDescent="0.2">
      <c r="A309" s="55" t="s">
        <v>328</v>
      </c>
      <c r="B309" s="18">
        <v>675385</v>
      </c>
      <c r="C309" s="18">
        <v>210112</v>
      </c>
    </row>
    <row r="310" spans="1:3" x14ac:dyDescent="0.2">
      <c r="A310" s="55" t="s">
        <v>329</v>
      </c>
      <c r="B310" s="18">
        <v>675385</v>
      </c>
      <c r="C310" s="18">
        <v>210120</v>
      </c>
    </row>
    <row r="311" spans="1:3" x14ac:dyDescent="0.2">
      <c r="A311" s="55" t="s">
        <v>330</v>
      </c>
      <c r="B311" s="18">
        <v>675385</v>
      </c>
      <c r="C311" s="18">
        <v>210138</v>
      </c>
    </row>
    <row r="312" spans="1:3" x14ac:dyDescent="0.2">
      <c r="A312" s="55" t="s">
        <v>331</v>
      </c>
      <c r="B312" s="18">
        <v>675385</v>
      </c>
      <c r="C312" s="18">
        <v>210146</v>
      </c>
    </row>
    <row r="313" spans="1:3" x14ac:dyDescent="0.2">
      <c r="A313" s="55" t="s">
        <v>332</v>
      </c>
      <c r="B313" s="18">
        <v>675385</v>
      </c>
      <c r="C313" s="18">
        <v>210153</v>
      </c>
    </row>
    <row r="314" spans="1:3" x14ac:dyDescent="0.2">
      <c r="A314" s="55" t="s">
        <v>333</v>
      </c>
      <c r="B314" s="18">
        <v>675385</v>
      </c>
      <c r="C314" s="18">
        <v>210161</v>
      </c>
    </row>
    <row r="315" spans="1:3" x14ac:dyDescent="0.2">
      <c r="A315" s="55" t="s">
        <v>334</v>
      </c>
      <c r="B315" s="18">
        <v>675385</v>
      </c>
      <c r="C315" s="18">
        <v>210179</v>
      </c>
    </row>
    <row r="316" spans="1:3" x14ac:dyDescent="0.2">
      <c r="A316" s="55" t="s">
        <v>335</v>
      </c>
      <c r="B316" s="18">
        <v>675385</v>
      </c>
      <c r="C316" s="18">
        <v>210187</v>
      </c>
    </row>
    <row r="317" spans="1:3" x14ac:dyDescent="0.2">
      <c r="A317" s="55" t="s">
        <v>336</v>
      </c>
      <c r="B317" s="18">
        <v>675385</v>
      </c>
      <c r="C317" s="18">
        <v>210195</v>
      </c>
    </row>
    <row r="318" spans="1:3" x14ac:dyDescent="0.2">
      <c r="A318" s="55" t="s">
        <v>337</v>
      </c>
      <c r="B318" s="18">
        <v>675385</v>
      </c>
      <c r="C318" s="18">
        <v>210203</v>
      </c>
    </row>
    <row r="319" spans="1:3" x14ac:dyDescent="0.2">
      <c r="A319" s="55" t="s">
        <v>338</v>
      </c>
      <c r="B319" s="18">
        <v>675385</v>
      </c>
      <c r="C319" s="18">
        <v>210211</v>
      </c>
    </row>
    <row r="320" spans="1:3" ht="15.75" x14ac:dyDescent="0.25">
      <c r="A320" s="19" t="s">
        <v>339</v>
      </c>
      <c r="B320" s="18">
        <v>675385</v>
      </c>
      <c r="C320" s="18">
        <v>220004</v>
      </c>
    </row>
    <row r="321" spans="1:3" x14ac:dyDescent="0.2">
      <c r="A321" s="55" t="s">
        <v>340</v>
      </c>
      <c r="B321" s="18">
        <v>675385</v>
      </c>
      <c r="C321" s="18">
        <v>220012</v>
      </c>
    </row>
    <row r="322" spans="1:3" x14ac:dyDescent="0.2">
      <c r="A322" s="55" t="s">
        <v>341</v>
      </c>
      <c r="B322" s="18">
        <v>675385</v>
      </c>
      <c r="C322" s="18">
        <v>220020</v>
      </c>
    </row>
    <row r="323" spans="1:3" x14ac:dyDescent="0.2">
      <c r="A323" s="55" t="s">
        <v>342</v>
      </c>
      <c r="B323" s="18">
        <v>675385</v>
      </c>
      <c r="C323" s="18">
        <v>220038</v>
      </c>
    </row>
    <row r="324" spans="1:3" ht="15.75" x14ac:dyDescent="0.25">
      <c r="A324" s="19" t="s">
        <v>343</v>
      </c>
      <c r="B324" s="18">
        <v>675385</v>
      </c>
      <c r="C324" s="18">
        <v>230003</v>
      </c>
    </row>
    <row r="325" spans="1:3" x14ac:dyDescent="0.2">
      <c r="A325" s="55" t="s">
        <v>344</v>
      </c>
      <c r="B325" s="18">
        <v>675385</v>
      </c>
      <c r="C325" s="18">
        <v>230011</v>
      </c>
    </row>
    <row r="326" spans="1:3" x14ac:dyDescent="0.2">
      <c r="A326" s="55" t="s">
        <v>345</v>
      </c>
      <c r="B326" s="18">
        <v>675385</v>
      </c>
      <c r="C326" s="18">
        <v>230029</v>
      </c>
    </row>
    <row r="327" spans="1:3" x14ac:dyDescent="0.2">
      <c r="A327" s="55" t="s">
        <v>346</v>
      </c>
      <c r="B327" s="18">
        <v>675385</v>
      </c>
      <c r="C327" s="18">
        <v>230037</v>
      </c>
    </row>
    <row r="328" spans="1:3" x14ac:dyDescent="0.2">
      <c r="A328" s="55" t="s">
        <v>347</v>
      </c>
      <c r="B328" s="18">
        <v>675385</v>
      </c>
      <c r="C328" s="18">
        <v>230045</v>
      </c>
    </row>
    <row r="329" spans="1:3" x14ac:dyDescent="0.2">
      <c r="A329" s="55" t="s">
        <v>348</v>
      </c>
      <c r="B329" s="18">
        <v>675385</v>
      </c>
      <c r="C329" s="18">
        <v>230052</v>
      </c>
    </row>
    <row r="330" spans="1:3" x14ac:dyDescent="0.2">
      <c r="A330" s="55" t="s">
        <v>349</v>
      </c>
      <c r="B330" s="18">
        <v>675385</v>
      </c>
      <c r="C330" s="18">
        <v>230060</v>
      </c>
    </row>
    <row r="331" spans="1:3" x14ac:dyDescent="0.2">
      <c r="A331" s="55" t="s">
        <v>350</v>
      </c>
      <c r="B331" s="18">
        <v>675385</v>
      </c>
      <c r="C331" s="18">
        <v>230078</v>
      </c>
    </row>
    <row r="332" spans="1:3" ht="15.75" x14ac:dyDescent="0.25">
      <c r="A332" s="19" t="s">
        <v>351</v>
      </c>
      <c r="B332" s="18">
        <v>675385</v>
      </c>
      <c r="C332" s="18">
        <v>240002</v>
      </c>
    </row>
    <row r="333" spans="1:3" x14ac:dyDescent="0.2">
      <c r="A333" s="55" t="s">
        <v>352</v>
      </c>
      <c r="B333" s="18">
        <v>675385</v>
      </c>
      <c r="C333" s="18">
        <v>240010</v>
      </c>
    </row>
    <row r="334" spans="1:3" x14ac:dyDescent="0.2">
      <c r="A334" s="55" t="s">
        <v>353</v>
      </c>
      <c r="B334" s="18">
        <v>675385</v>
      </c>
      <c r="C334" s="18">
        <v>240028</v>
      </c>
    </row>
    <row r="335" spans="1:3" x14ac:dyDescent="0.2">
      <c r="A335" s="55" t="s">
        <v>354</v>
      </c>
      <c r="B335" s="18">
        <v>675385</v>
      </c>
      <c r="C335" s="18">
        <v>240036</v>
      </c>
    </row>
    <row r="336" spans="1:3" x14ac:dyDescent="0.2">
      <c r="A336" s="55" t="s">
        <v>355</v>
      </c>
      <c r="B336" s="18">
        <v>675385</v>
      </c>
      <c r="C336" s="18">
        <v>240044</v>
      </c>
    </row>
    <row r="337" spans="1:3" x14ac:dyDescent="0.2">
      <c r="A337" s="55" t="s">
        <v>356</v>
      </c>
      <c r="B337" s="18">
        <v>675385</v>
      </c>
      <c r="C337" s="18">
        <v>240051</v>
      </c>
    </row>
    <row r="338" spans="1:3" x14ac:dyDescent="0.2">
      <c r="A338" s="55" t="s">
        <v>357</v>
      </c>
      <c r="B338" s="18">
        <v>675385</v>
      </c>
      <c r="C338" s="18">
        <v>240069</v>
      </c>
    </row>
    <row r="339" spans="1:3" x14ac:dyDescent="0.2">
      <c r="A339" s="55" t="s">
        <v>358</v>
      </c>
      <c r="B339" s="18">
        <v>675385</v>
      </c>
      <c r="C339" s="18">
        <v>240077</v>
      </c>
    </row>
    <row r="340" spans="1:3" x14ac:dyDescent="0.2">
      <c r="A340" s="55" t="s">
        <v>359</v>
      </c>
      <c r="B340" s="18">
        <v>675385</v>
      </c>
      <c r="C340" s="18">
        <v>240085</v>
      </c>
    </row>
    <row r="341" spans="1:3" x14ac:dyDescent="0.2">
      <c r="A341" s="55" t="s">
        <v>360</v>
      </c>
      <c r="B341" s="18">
        <v>675385</v>
      </c>
      <c r="C341" s="18">
        <v>240093</v>
      </c>
    </row>
    <row r="342" spans="1:3" x14ac:dyDescent="0.2">
      <c r="A342" s="55" t="s">
        <v>361</v>
      </c>
      <c r="B342" s="18">
        <v>675385</v>
      </c>
      <c r="C342" s="18">
        <v>240101</v>
      </c>
    </row>
    <row r="343" spans="1:3" x14ac:dyDescent="0.2">
      <c r="A343" s="55" t="s">
        <v>362</v>
      </c>
      <c r="B343" s="18">
        <v>675385</v>
      </c>
      <c r="C343" s="18">
        <v>240119</v>
      </c>
    </row>
    <row r="344" spans="1:3" ht="15.75" x14ac:dyDescent="0.25">
      <c r="A344" s="19" t="s">
        <v>363</v>
      </c>
      <c r="B344" s="18">
        <v>675385</v>
      </c>
      <c r="C344" s="18">
        <v>250001</v>
      </c>
    </row>
    <row r="345" spans="1:3" x14ac:dyDescent="0.2">
      <c r="A345" s="55" t="s">
        <v>364</v>
      </c>
      <c r="B345" s="18">
        <v>675385</v>
      </c>
      <c r="C345" s="18">
        <v>250019</v>
      </c>
    </row>
    <row r="346" spans="1:3" x14ac:dyDescent="0.2">
      <c r="A346" s="55" t="s">
        <v>365</v>
      </c>
      <c r="B346" s="18">
        <v>675385</v>
      </c>
      <c r="C346" s="18">
        <v>250027</v>
      </c>
    </row>
    <row r="347" spans="1:3" x14ac:dyDescent="0.2">
      <c r="A347" s="55" t="s">
        <v>366</v>
      </c>
      <c r="B347" s="18">
        <v>675385</v>
      </c>
      <c r="C347" s="18">
        <v>250035</v>
      </c>
    </row>
    <row r="348" spans="1:3" x14ac:dyDescent="0.2">
      <c r="A348" s="55" t="s">
        <v>367</v>
      </c>
      <c r="B348" s="18">
        <v>675385</v>
      </c>
      <c r="C348" s="18">
        <v>250043</v>
      </c>
    </row>
    <row r="349" spans="1:3" x14ac:dyDescent="0.2">
      <c r="A349" s="55" t="s">
        <v>368</v>
      </c>
      <c r="B349" s="18">
        <v>675385</v>
      </c>
      <c r="C349" s="18">
        <v>250050</v>
      </c>
    </row>
    <row r="350" spans="1:3" x14ac:dyDescent="0.2">
      <c r="A350" s="55" t="s">
        <v>369</v>
      </c>
      <c r="B350" s="18">
        <v>675385</v>
      </c>
      <c r="C350" s="18">
        <v>250068</v>
      </c>
    </row>
    <row r="351" spans="1:3" x14ac:dyDescent="0.2">
      <c r="A351" s="55" t="s">
        <v>370</v>
      </c>
      <c r="B351" s="18">
        <v>675385</v>
      </c>
      <c r="C351" s="18">
        <v>250076</v>
      </c>
    </row>
    <row r="352" spans="1:3" x14ac:dyDescent="0.2">
      <c r="A352" s="55" t="s">
        <v>371</v>
      </c>
      <c r="B352" s="18">
        <v>675385</v>
      </c>
      <c r="C352" s="18">
        <v>250084</v>
      </c>
    </row>
    <row r="353" spans="1:3" x14ac:dyDescent="0.2">
      <c r="A353" s="55" t="s">
        <v>372</v>
      </c>
      <c r="B353" s="18">
        <v>675385</v>
      </c>
      <c r="C353" s="18">
        <v>250092</v>
      </c>
    </row>
    <row r="354" spans="1:3" x14ac:dyDescent="0.2">
      <c r="A354" s="55" t="s">
        <v>373</v>
      </c>
      <c r="B354" s="18">
        <v>675385</v>
      </c>
      <c r="C354" s="18">
        <v>250100</v>
      </c>
    </row>
    <row r="355" spans="1:3" x14ac:dyDescent="0.2">
      <c r="A355" s="55" t="s">
        <v>374</v>
      </c>
      <c r="B355" s="18">
        <v>675385</v>
      </c>
      <c r="C355" s="18">
        <v>250118</v>
      </c>
    </row>
    <row r="356" spans="1:3" x14ac:dyDescent="0.2">
      <c r="A356" s="55" t="s">
        <v>375</v>
      </c>
      <c r="B356" s="18">
        <v>675385</v>
      </c>
      <c r="C356" s="18">
        <v>250126</v>
      </c>
    </row>
    <row r="357" spans="1:3" x14ac:dyDescent="0.2">
      <c r="A357" s="55" t="s">
        <v>376</v>
      </c>
      <c r="B357" s="18">
        <v>675385</v>
      </c>
      <c r="C357" s="18">
        <v>250134</v>
      </c>
    </row>
    <row r="358" spans="1:3" x14ac:dyDescent="0.2">
      <c r="A358" s="55" t="s">
        <v>377</v>
      </c>
      <c r="B358" s="18">
        <v>675385</v>
      </c>
      <c r="C358" s="18">
        <v>250142</v>
      </c>
    </row>
    <row r="359" spans="1:3" x14ac:dyDescent="0.2">
      <c r="A359" s="55" t="s">
        <v>378</v>
      </c>
      <c r="B359" s="18">
        <v>675385</v>
      </c>
      <c r="C359" s="18">
        <v>250159</v>
      </c>
    </row>
    <row r="360" spans="1:3" x14ac:dyDescent="0.2">
      <c r="A360" s="55" t="s">
        <v>379</v>
      </c>
      <c r="B360" s="18">
        <v>675385</v>
      </c>
      <c r="C360" s="18">
        <v>250167</v>
      </c>
    </row>
    <row r="361" spans="1:3" x14ac:dyDescent="0.2">
      <c r="A361" s="55" t="s">
        <v>380</v>
      </c>
      <c r="B361" s="18">
        <v>675385</v>
      </c>
      <c r="C361" s="18">
        <v>250175</v>
      </c>
    </row>
    <row r="362" spans="1:3" x14ac:dyDescent="0.2">
      <c r="A362" s="55" t="s">
        <v>381</v>
      </c>
      <c r="B362" s="18">
        <v>675385</v>
      </c>
      <c r="C362" s="18">
        <v>250183</v>
      </c>
    </row>
    <row r="363" spans="1:3" x14ac:dyDescent="0.2">
      <c r="A363" s="55" t="s">
        <v>382</v>
      </c>
      <c r="B363" s="18">
        <v>675385</v>
      </c>
      <c r="C363" s="18">
        <v>250191</v>
      </c>
    </row>
    <row r="364" spans="1:3" x14ac:dyDescent="0.2">
      <c r="A364" s="55" t="s">
        <v>383</v>
      </c>
      <c r="B364" s="18">
        <v>675385</v>
      </c>
      <c r="C364" s="18">
        <v>250209</v>
      </c>
    </row>
    <row r="365" spans="1:3" x14ac:dyDescent="0.2">
      <c r="A365" s="55" t="s">
        <v>384</v>
      </c>
      <c r="B365" s="18">
        <v>675385</v>
      </c>
      <c r="C365" s="18">
        <v>250217</v>
      </c>
    </row>
    <row r="366" spans="1:3" x14ac:dyDescent="0.2">
      <c r="A366" s="55" t="s">
        <v>385</v>
      </c>
      <c r="B366" s="18">
        <v>675385</v>
      </c>
      <c r="C366" s="18">
        <v>250225</v>
      </c>
    </row>
    <row r="367" spans="1:3" x14ac:dyDescent="0.2">
      <c r="A367" s="55" t="s">
        <v>386</v>
      </c>
      <c r="B367" s="18">
        <v>675385</v>
      </c>
      <c r="C367" s="18">
        <v>250233</v>
      </c>
    </row>
    <row r="368" spans="1:3" x14ac:dyDescent="0.2">
      <c r="A368" s="55" t="s">
        <v>387</v>
      </c>
      <c r="B368" s="18">
        <v>675385</v>
      </c>
      <c r="C368" s="18">
        <v>250241</v>
      </c>
    </row>
    <row r="369" spans="1:3" x14ac:dyDescent="0.2">
      <c r="A369" s="55" t="s">
        <v>388</v>
      </c>
      <c r="B369" s="18">
        <v>675385</v>
      </c>
      <c r="C369" s="18">
        <v>250258</v>
      </c>
    </row>
    <row r="370" spans="1:3" x14ac:dyDescent="0.2">
      <c r="A370" s="55" t="s">
        <v>389</v>
      </c>
      <c r="B370" s="18">
        <v>675385</v>
      </c>
      <c r="C370" s="18">
        <v>250266</v>
      </c>
    </row>
    <row r="371" spans="1:3" x14ac:dyDescent="0.2">
      <c r="A371" s="55" t="s">
        <v>390</v>
      </c>
      <c r="B371" s="18">
        <v>675385</v>
      </c>
      <c r="C371" s="18">
        <v>250274</v>
      </c>
    </row>
    <row r="372" spans="1:3" x14ac:dyDescent="0.2">
      <c r="A372" s="55" t="s">
        <v>56</v>
      </c>
      <c r="B372" s="18">
        <v>675385</v>
      </c>
      <c r="C372" s="18">
        <v>250282</v>
      </c>
    </row>
    <row r="373" spans="1:3" x14ac:dyDescent="0.2">
      <c r="A373" s="55" t="s">
        <v>391</v>
      </c>
      <c r="B373" s="18">
        <v>675385</v>
      </c>
      <c r="C373" s="18">
        <v>250290</v>
      </c>
    </row>
    <row r="374" spans="1:3" x14ac:dyDescent="0.2">
      <c r="A374" s="55" t="s">
        <v>392</v>
      </c>
      <c r="B374" s="18">
        <v>675385</v>
      </c>
      <c r="C374" s="18">
        <v>250308</v>
      </c>
    </row>
    <row r="375" spans="1:3" x14ac:dyDescent="0.2">
      <c r="A375" s="55" t="s">
        <v>393</v>
      </c>
      <c r="B375" s="18">
        <v>675385</v>
      </c>
      <c r="C375" s="18">
        <v>250316</v>
      </c>
    </row>
    <row r="376" spans="1:3" x14ac:dyDescent="0.2">
      <c r="A376" s="55" t="s">
        <v>394</v>
      </c>
      <c r="B376" s="18">
        <v>675385</v>
      </c>
      <c r="C376" s="18">
        <v>250324</v>
      </c>
    </row>
    <row r="377" spans="1:3" x14ac:dyDescent="0.2">
      <c r="A377" s="55" t="s">
        <v>395</v>
      </c>
      <c r="B377" s="18">
        <v>675385</v>
      </c>
      <c r="C377" s="18">
        <v>250332</v>
      </c>
    </row>
    <row r="378" spans="1:3" x14ac:dyDescent="0.2">
      <c r="A378" s="55" t="s">
        <v>396</v>
      </c>
      <c r="B378" s="18">
        <v>675385</v>
      </c>
      <c r="C378" s="18">
        <v>250340</v>
      </c>
    </row>
    <row r="379" spans="1:3" x14ac:dyDescent="0.2">
      <c r="A379" s="55" t="s">
        <v>397</v>
      </c>
      <c r="B379" s="18">
        <v>675385</v>
      </c>
      <c r="C379" s="18">
        <v>250357</v>
      </c>
    </row>
    <row r="380" spans="1:3" x14ac:dyDescent="0.2">
      <c r="A380" s="55" t="s">
        <v>304</v>
      </c>
      <c r="B380" s="18">
        <v>675385</v>
      </c>
      <c r="C380" s="18">
        <v>250365</v>
      </c>
    </row>
    <row r="381" spans="1:3" x14ac:dyDescent="0.2">
      <c r="A381" s="55" t="s">
        <v>398</v>
      </c>
      <c r="B381" s="18">
        <v>675385</v>
      </c>
      <c r="C381" s="18">
        <v>250373</v>
      </c>
    </row>
    <row r="382" spans="1:3" x14ac:dyDescent="0.2">
      <c r="A382" s="55" t="s">
        <v>399</v>
      </c>
      <c r="B382" s="18">
        <v>675385</v>
      </c>
      <c r="C382" s="18">
        <v>250381</v>
      </c>
    </row>
    <row r="383" spans="1:3" ht="15.75" x14ac:dyDescent="0.25">
      <c r="A383" s="19" t="s">
        <v>400</v>
      </c>
      <c r="B383" s="18">
        <v>675385</v>
      </c>
      <c r="C383" s="18">
        <v>260000</v>
      </c>
    </row>
    <row r="384" spans="1:3" x14ac:dyDescent="0.2">
      <c r="A384" s="55" t="s">
        <v>401</v>
      </c>
      <c r="B384" s="18">
        <v>675385</v>
      </c>
      <c r="C384" s="18">
        <v>260018</v>
      </c>
    </row>
    <row r="385" spans="1:3" x14ac:dyDescent="0.2">
      <c r="A385" s="55" t="s">
        <v>402</v>
      </c>
      <c r="B385" s="18">
        <v>675385</v>
      </c>
      <c r="C385" s="18">
        <v>260026</v>
      </c>
    </row>
    <row r="386" spans="1:3" x14ac:dyDescent="0.2">
      <c r="A386" s="55" t="s">
        <v>403</v>
      </c>
      <c r="B386" s="18">
        <v>675385</v>
      </c>
      <c r="C386" s="18">
        <v>260034</v>
      </c>
    </row>
    <row r="387" spans="1:3" x14ac:dyDescent="0.2">
      <c r="A387" s="55" t="s">
        <v>404</v>
      </c>
      <c r="B387" s="18">
        <v>675385</v>
      </c>
      <c r="C387" s="18">
        <v>260042</v>
      </c>
    </row>
    <row r="388" spans="1:3" x14ac:dyDescent="0.2">
      <c r="A388" s="55" t="s">
        <v>405</v>
      </c>
      <c r="B388" s="18">
        <v>675385</v>
      </c>
      <c r="C388" s="18">
        <v>260059</v>
      </c>
    </row>
    <row r="389" spans="1:3" x14ac:dyDescent="0.2">
      <c r="A389" s="55" t="s">
        <v>406</v>
      </c>
      <c r="B389" s="18">
        <v>675385</v>
      </c>
      <c r="C389" s="18">
        <v>260067</v>
      </c>
    </row>
    <row r="390" spans="1:3" x14ac:dyDescent="0.2">
      <c r="A390" s="55" t="s">
        <v>407</v>
      </c>
      <c r="B390" s="18">
        <v>675385</v>
      </c>
      <c r="C390" s="18">
        <v>260075</v>
      </c>
    </row>
    <row r="391" spans="1:3" x14ac:dyDescent="0.2">
      <c r="A391" s="55" t="s">
        <v>408</v>
      </c>
      <c r="B391" s="18">
        <v>675385</v>
      </c>
      <c r="C391" s="18">
        <v>260083</v>
      </c>
    </row>
    <row r="392" spans="1:3" x14ac:dyDescent="0.2">
      <c r="A392" s="55" t="s">
        <v>409</v>
      </c>
      <c r="B392" s="18">
        <v>675385</v>
      </c>
      <c r="C392" s="18">
        <v>260091</v>
      </c>
    </row>
    <row r="393" spans="1:3" x14ac:dyDescent="0.2">
      <c r="A393" s="55" t="s">
        <v>410</v>
      </c>
      <c r="B393" s="18">
        <v>675385</v>
      </c>
      <c r="C393" s="18">
        <v>260109</v>
      </c>
    </row>
    <row r="394" spans="1:3" x14ac:dyDescent="0.2">
      <c r="A394" s="55" t="s">
        <v>411</v>
      </c>
      <c r="B394" s="18">
        <v>675385</v>
      </c>
      <c r="C394" s="18">
        <v>260117</v>
      </c>
    </row>
    <row r="395" spans="1:3" x14ac:dyDescent="0.2">
      <c r="A395" s="55" t="s">
        <v>412</v>
      </c>
      <c r="B395" s="18">
        <v>675385</v>
      </c>
      <c r="C395" s="18">
        <v>260125</v>
      </c>
    </row>
    <row r="396" spans="1:3" x14ac:dyDescent="0.2">
      <c r="A396" s="55" t="s">
        <v>413</v>
      </c>
      <c r="B396" s="18">
        <v>675385</v>
      </c>
      <c r="C396" s="18">
        <v>260133</v>
      </c>
    </row>
    <row r="397" spans="1:3" x14ac:dyDescent="0.2">
      <c r="A397" s="55" t="s">
        <v>414</v>
      </c>
      <c r="B397" s="18">
        <v>675385</v>
      </c>
      <c r="C397" s="18">
        <v>260141</v>
      </c>
    </row>
    <row r="398" spans="1:3" x14ac:dyDescent="0.2">
      <c r="A398" s="55" t="s">
        <v>415</v>
      </c>
      <c r="B398" s="18">
        <v>675385</v>
      </c>
      <c r="C398" s="18">
        <v>260158</v>
      </c>
    </row>
    <row r="399" spans="1:3" x14ac:dyDescent="0.2">
      <c r="A399" s="55" t="s">
        <v>416</v>
      </c>
      <c r="B399" s="18">
        <v>675385</v>
      </c>
      <c r="C399" s="18">
        <v>260166</v>
      </c>
    </row>
    <row r="400" spans="1:3" x14ac:dyDescent="0.2">
      <c r="A400" s="55" t="s">
        <v>417</v>
      </c>
      <c r="B400" s="18">
        <v>675385</v>
      </c>
      <c r="C400" s="18">
        <v>260174</v>
      </c>
    </row>
    <row r="401" spans="1:3" x14ac:dyDescent="0.2">
      <c r="A401" s="55" t="s">
        <v>418</v>
      </c>
      <c r="B401" s="18">
        <v>675385</v>
      </c>
      <c r="C401" s="18">
        <v>260182</v>
      </c>
    </row>
    <row r="402" spans="1:3" x14ac:dyDescent="0.2">
      <c r="A402" s="55" t="s">
        <v>419</v>
      </c>
      <c r="B402" s="18">
        <v>675385</v>
      </c>
      <c r="C402" s="18">
        <v>260190</v>
      </c>
    </row>
    <row r="403" spans="1:3" x14ac:dyDescent="0.2">
      <c r="A403" s="55" t="s">
        <v>420</v>
      </c>
      <c r="B403" s="18">
        <v>675385</v>
      </c>
      <c r="C403" s="18">
        <v>260208</v>
      </c>
    </row>
    <row r="404" spans="1:3" x14ac:dyDescent="0.2">
      <c r="A404" s="55" t="s">
        <v>421</v>
      </c>
      <c r="B404" s="18">
        <v>675385</v>
      </c>
      <c r="C404" s="18">
        <v>260216</v>
      </c>
    </row>
    <row r="405" spans="1:3" x14ac:dyDescent="0.2">
      <c r="A405" s="55" t="s">
        <v>422</v>
      </c>
      <c r="B405" s="18">
        <v>675385</v>
      </c>
      <c r="C405" s="18">
        <v>260224</v>
      </c>
    </row>
    <row r="406" spans="1:3" x14ac:dyDescent="0.2">
      <c r="A406" s="55" t="s">
        <v>423</v>
      </c>
      <c r="B406" s="18">
        <v>675385</v>
      </c>
      <c r="C406" s="18">
        <v>260232</v>
      </c>
    </row>
    <row r="407" spans="1:3" x14ac:dyDescent="0.2">
      <c r="A407" s="55" t="s">
        <v>424</v>
      </c>
      <c r="B407" s="18">
        <v>675385</v>
      </c>
      <c r="C407" s="18">
        <v>260240</v>
      </c>
    </row>
    <row r="408" spans="1:3" x14ac:dyDescent="0.2">
      <c r="A408" s="55" t="s">
        <v>425</v>
      </c>
      <c r="B408" s="18">
        <v>675385</v>
      </c>
      <c r="C408" s="18">
        <v>260257</v>
      </c>
    </row>
    <row r="409" spans="1:3" x14ac:dyDescent="0.2">
      <c r="A409" s="55" t="s">
        <v>426</v>
      </c>
      <c r="B409" s="18">
        <v>675385</v>
      </c>
      <c r="C409" s="18">
        <v>260265</v>
      </c>
    </row>
    <row r="410" spans="1:3" x14ac:dyDescent="0.2">
      <c r="A410" s="55" t="s">
        <v>427</v>
      </c>
      <c r="B410" s="18">
        <v>675385</v>
      </c>
      <c r="C410" s="18">
        <v>260273</v>
      </c>
    </row>
    <row r="411" spans="1:3" x14ac:dyDescent="0.2">
      <c r="A411" s="55" t="s">
        <v>428</v>
      </c>
      <c r="B411" s="18">
        <v>675385</v>
      </c>
      <c r="C411" s="18">
        <v>260281</v>
      </c>
    </row>
    <row r="412" spans="1:3" x14ac:dyDescent="0.2">
      <c r="A412" s="55" t="s">
        <v>429</v>
      </c>
      <c r="B412" s="18">
        <v>675385</v>
      </c>
      <c r="C412" s="18">
        <v>260299</v>
      </c>
    </row>
    <row r="413" spans="1:3" x14ac:dyDescent="0.2">
      <c r="A413" s="55" t="s">
        <v>430</v>
      </c>
      <c r="B413" s="18">
        <v>675385</v>
      </c>
      <c r="C413" s="18">
        <v>260307</v>
      </c>
    </row>
    <row r="414" spans="1:3" x14ac:dyDescent="0.2">
      <c r="A414" s="55" t="s">
        <v>431</v>
      </c>
      <c r="B414" s="18">
        <v>675385</v>
      </c>
      <c r="C414" s="18">
        <v>260315</v>
      </c>
    </row>
    <row r="415" spans="1:3" x14ac:dyDescent="0.2">
      <c r="A415" s="55" t="s">
        <v>432</v>
      </c>
      <c r="B415" s="18">
        <v>675385</v>
      </c>
      <c r="C415" s="18">
        <v>260323</v>
      </c>
    </row>
    <row r="416" spans="1:3" x14ac:dyDescent="0.2">
      <c r="A416" s="55" t="s">
        <v>433</v>
      </c>
      <c r="B416" s="18">
        <v>675385</v>
      </c>
      <c r="C416" s="18">
        <v>260331</v>
      </c>
    </row>
    <row r="417" spans="1:3" x14ac:dyDescent="0.2">
      <c r="A417" s="55" t="s">
        <v>434</v>
      </c>
      <c r="B417" s="18">
        <v>675385</v>
      </c>
      <c r="C417" s="18">
        <v>260349</v>
      </c>
    </row>
    <row r="418" spans="1:3" x14ac:dyDescent="0.2">
      <c r="A418" s="55" t="s">
        <v>435</v>
      </c>
      <c r="B418" s="18">
        <v>675385</v>
      </c>
      <c r="C418" s="18">
        <v>260356</v>
      </c>
    </row>
    <row r="419" spans="1:3" x14ac:dyDescent="0.2">
      <c r="A419" s="55" t="s">
        <v>436</v>
      </c>
      <c r="B419" s="18">
        <v>675385</v>
      </c>
      <c r="C419" s="18">
        <v>260364</v>
      </c>
    </row>
    <row r="420" spans="1:3" x14ac:dyDescent="0.2">
      <c r="A420" s="55" t="s">
        <v>437</v>
      </c>
      <c r="B420" s="18">
        <v>675385</v>
      </c>
      <c r="C420" s="18">
        <v>260372</v>
      </c>
    </row>
    <row r="421" spans="1:3" x14ac:dyDescent="0.2">
      <c r="A421" s="55" t="s">
        <v>438</v>
      </c>
      <c r="B421" s="18">
        <v>675385</v>
      </c>
      <c r="C421" s="18">
        <v>260380</v>
      </c>
    </row>
    <row r="422" spans="1:3" x14ac:dyDescent="0.2">
      <c r="A422" s="55" t="s">
        <v>393</v>
      </c>
      <c r="B422" s="18">
        <v>675385</v>
      </c>
      <c r="C422" s="18">
        <v>260398</v>
      </c>
    </row>
    <row r="423" spans="1:3" x14ac:dyDescent="0.2">
      <c r="A423" s="55" t="s">
        <v>439</v>
      </c>
      <c r="B423" s="18">
        <v>675385</v>
      </c>
      <c r="C423" s="18">
        <v>260406</v>
      </c>
    </row>
    <row r="424" spans="1:3" x14ac:dyDescent="0.2">
      <c r="A424" s="55" t="s">
        <v>440</v>
      </c>
      <c r="B424" s="18">
        <v>675385</v>
      </c>
      <c r="C424" s="18">
        <v>260414</v>
      </c>
    </row>
    <row r="425" spans="1:3" x14ac:dyDescent="0.2">
      <c r="A425" s="55" t="s">
        <v>441</v>
      </c>
      <c r="B425" s="18">
        <v>675385</v>
      </c>
      <c r="C425" s="18">
        <v>260422</v>
      </c>
    </row>
    <row r="426" spans="1:3" x14ac:dyDescent="0.2">
      <c r="A426" s="55" t="s">
        <v>442</v>
      </c>
      <c r="B426" s="18">
        <v>675385</v>
      </c>
      <c r="C426" s="18">
        <v>260430</v>
      </c>
    </row>
    <row r="427" spans="1:3" x14ac:dyDescent="0.2">
      <c r="A427" s="55" t="s">
        <v>443</v>
      </c>
      <c r="B427" s="18">
        <v>675385</v>
      </c>
      <c r="C427" s="18">
        <v>260448</v>
      </c>
    </row>
    <row r="428" spans="1:3" x14ac:dyDescent="0.2">
      <c r="A428" s="55" t="s">
        <v>444</v>
      </c>
      <c r="B428" s="18">
        <v>675385</v>
      </c>
      <c r="C428" s="18">
        <v>260455</v>
      </c>
    </row>
    <row r="429" spans="1:3" ht="15.75" x14ac:dyDescent="0.25">
      <c r="A429" s="19" t="s">
        <v>445</v>
      </c>
      <c r="B429" s="18">
        <v>675385</v>
      </c>
      <c r="C429" s="18">
        <v>270009</v>
      </c>
    </row>
    <row r="430" spans="1:3" x14ac:dyDescent="0.2">
      <c r="A430" s="55" t="s">
        <v>446</v>
      </c>
      <c r="B430" s="18">
        <v>675385</v>
      </c>
      <c r="C430" s="18">
        <v>270017</v>
      </c>
    </row>
    <row r="431" spans="1:3" x14ac:dyDescent="0.2">
      <c r="A431" s="55" t="s">
        <v>447</v>
      </c>
      <c r="B431" s="18">
        <v>675385</v>
      </c>
      <c r="C431" s="18">
        <v>270025</v>
      </c>
    </row>
    <row r="432" spans="1:3" x14ac:dyDescent="0.2">
      <c r="A432" s="55" t="s">
        <v>448</v>
      </c>
      <c r="B432" s="18">
        <v>675385</v>
      </c>
      <c r="C432" s="18">
        <v>270033</v>
      </c>
    </row>
    <row r="433" spans="1:3" x14ac:dyDescent="0.2">
      <c r="A433" s="55" t="s">
        <v>449</v>
      </c>
      <c r="B433" s="18">
        <v>675385</v>
      </c>
      <c r="C433" s="18">
        <v>270041</v>
      </c>
    </row>
    <row r="434" spans="1:3" ht="15.75" x14ac:dyDescent="0.25">
      <c r="A434" s="19" t="s">
        <v>450</v>
      </c>
      <c r="B434" s="18">
        <v>675385</v>
      </c>
      <c r="C434" s="18">
        <v>280008</v>
      </c>
    </row>
    <row r="435" spans="1:3" x14ac:dyDescent="0.2">
      <c r="A435" s="55" t="s">
        <v>451</v>
      </c>
      <c r="B435" s="18">
        <v>675385</v>
      </c>
      <c r="C435" s="18">
        <v>280016</v>
      </c>
    </row>
    <row r="436" spans="1:3" x14ac:dyDescent="0.2">
      <c r="A436" s="55" t="s">
        <v>111</v>
      </c>
      <c r="B436" s="18">
        <v>675385</v>
      </c>
      <c r="C436" s="18">
        <v>280024</v>
      </c>
    </row>
    <row r="437" spans="1:3" x14ac:dyDescent="0.2">
      <c r="A437" s="55" t="s">
        <v>452</v>
      </c>
      <c r="B437" s="18">
        <v>675385</v>
      </c>
      <c r="C437" s="18">
        <v>280032</v>
      </c>
    </row>
    <row r="438" spans="1:3" x14ac:dyDescent="0.2">
      <c r="A438" s="55" t="s">
        <v>453</v>
      </c>
      <c r="B438" s="18">
        <v>675385</v>
      </c>
      <c r="C438" s="18">
        <v>280040</v>
      </c>
    </row>
    <row r="439" spans="1:3" x14ac:dyDescent="0.2">
      <c r="A439" s="55" t="s">
        <v>454</v>
      </c>
      <c r="B439" s="18">
        <v>675385</v>
      </c>
      <c r="C439" s="18">
        <v>280057</v>
      </c>
    </row>
    <row r="440" spans="1:3" x14ac:dyDescent="0.2">
      <c r="A440" s="55" t="s">
        <v>455</v>
      </c>
      <c r="B440" s="18">
        <v>675385</v>
      </c>
      <c r="C440" s="18">
        <v>280065</v>
      </c>
    </row>
    <row r="441" spans="1:3" x14ac:dyDescent="0.2">
      <c r="A441" s="55" t="s">
        <v>456</v>
      </c>
      <c r="B441" s="18">
        <v>675385</v>
      </c>
      <c r="C441" s="18">
        <v>280073</v>
      </c>
    </row>
    <row r="442" spans="1:3" x14ac:dyDescent="0.2">
      <c r="A442" s="55" t="s">
        <v>457</v>
      </c>
      <c r="B442" s="18">
        <v>675385</v>
      </c>
      <c r="C442" s="18">
        <v>280081</v>
      </c>
    </row>
    <row r="443" spans="1:3" x14ac:dyDescent="0.2">
      <c r="A443" s="55" t="s">
        <v>458</v>
      </c>
      <c r="B443" s="18">
        <v>675385</v>
      </c>
      <c r="C443" s="18">
        <v>280099</v>
      </c>
    </row>
    <row r="444" spans="1:3" x14ac:dyDescent="0.2">
      <c r="A444" s="55" t="s">
        <v>459</v>
      </c>
      <c r="B444" s="18">
        <v>675385</v>
      </c>
      <c r="C444" s="18">
        <v>280107</v>
      </c>
    </row>
    <row r="445" spans="1:3" x14ac:dyDescent="0.2">
      <c r="A445" s="55" t="s">
        <v>460</v>
      </c>
      <c r="B445" s="18">
        <v>675385</v>
      </c>
      <c r="C445" s="18">
        <v>280115</v>
      </c>
    </row>
    <row r="446" spans="1:3" x14ac:dyDescent="0.2">
      <c r="A446" s="55" t="s">
        <v>461</v>
      </c>
      <c r="B446" s="18">
        <v>675385</v>
      </c>
      <c r="C446" s="18">
        <v>280123</v>
      </c>
    </row>
    <row r="447" spans="1:3" x14ac:dyDescent="0.2">
      <c r="A447" s="55" t="s">
        <v>462</v>
      </c>
      <c r="B447" s="18">
        <v>675385</v>
      </c>
      <c r="C447" s="18">
        <v>280131</v>
      </c>
    </row>
    <row r="448" spans="1:3" x14ac:dyDescent="0.2">
      <c r="A448" s="55" t="s">
        <v>463</v>
      </c>
      <c r="B448" s="18">
        <v>675385</v>
      </c>
      <c r="C448" s="18">
        <v>280149</v>
      </c>
    </row>
    <row r="449" spans="1:3" x14ac:dyDescent="0.2">
      <c r="A449" s="55" t="s">
        <v>464</v>
      </c>
      <c r="B449" s="18">
        <v>675385</v>
      </c>
      <c r="C449" s="18">
        <v>280156</v>
      </c>
    </row>
    <row r="450" spans="1:3" x14ac:dyDescent="0.2">
      <c r="A450" s="55" t="s">
        <v>465</v>
      </c>
      <c r="B450" s="18">
        <v>675385</v>
      </c>
      <c r="C450" s="18">
        <v>280164</v>
      </c>
    </row>
    <row r="451" spans="1:3" x14ac:dyDescent="0.2">
      <c r="A451" s="55" t="s">
        <v>466</v>
      </c>
      <c r="B451" s="18">
        <v>675385</v>
      </c>
      <c r="C451" s="18">
        <v>280172</v>
      </c>
    </row>
    <row r="452" spans="1:3" x14ac:dyDescent="0.2">
      <c r="A452" s="55" t="s">
        <v>467</v>
      </c>
      <c r="B452" s="18">
        <v>675385</v>
      </c>
      <c r="C452" s="18">
        <v>280180</v>
      </c>
    </row>
    <row r="453" spans="1:3" x14ac:dyDescent="0.2">
      <c r="A453" s="55" t="s">
        <v>468</v>
      </c>
      <c r="B453" s="18">
        <v>675385</v>
      </c>
      <c r="C453" s="18">
        <v>280198</v>
      </c>
    </row>
    <row r="454" spans="1:3" x14ac:dyDescent="0.2">
      <c r="A454" s="55" t="s">
        <v>469</v>
      </c>
      <c r="B454" s="18">
        <v>675385</v>
      </c>
      <c r="C454" s="18">
        <v>280206</v>
      </c>
    </row>
    <row r="455" spans="1:3" x14ac:dyDescent="0.2">
      <c r="A455" s="55" t="s">
        <v>470</v>
      </c>
      <c r="B455" s="18">
        <v>675385</v>
      </c>
      <c r="C455" s="18">
        <v>280214</v>
      </c>
    </row>
    <row r="456" spans="1:3" x14ac:dyDescent="0.2">
      <c r="A456" s="55" t="s">
        <v>471</v>
      </c>
      <c r="B456" s="18">
        <v>675385</v>
      </c>
      <c r="C456" s="18">
        <v>280222</v>
      </c>
    </row>
    <row r="457" spans="1:3" x14ac:dyDescent="0.2">
      <c r="A457" s="55" t="s">
        <v>472</v>
      </c>
      <c r="B457" s="18">
        <v>675385</v>
      </c>
      <c r="C457" s="18">
        <v>280230</v>
      </c>
    </row>
    <row r="458" spans="1:3" x14ac:dyDescent="0.2">
      <c r="A458" s="55" t="s">
        <v>473</v>
      </c>
      <c r="B458" s="18">
        <v>675385</v>
      </c>
      <c r="C458" s="18">
        <v>280248</v>
      </c>
    </row>
    <row r="459" spans="1:3" x14ac:dyDescent="0.2">
      <c r="A459" s="55" t="s">
        <v>474</v>
      </c>
      <c r="B459" s="18">
        <v>675385</v>
      </c>
      <c r="C459" s="18">
        <v>280255</v>
      </c>
    </row>
    <row r="460" spans="1:3" x14ac:dyDescent="0.2">
      <c r="A460" s="55" t="s">
        <v>475</v>
      </c>
      <c r="B460" s="18">
        <v>675385</v>
      </c>
      <c r="C460" s="18">
        <v>280263</v>
      </c>
    </row>
    <row r="461" spans="1:3" x14ac:dyDescent="0.2">
      <c r="A461" s="55" t="s">
        <v>476</v>
      </c>
      <c r="B461" s="18">
        <v>675385</v>
      </c>
      <c r="C461" s="18">
        <v>280271</v>
      </c>
    </row>
    <row r="462" spans="1:3" x14ac:dyDescent="0.2">
      <c r="A462" s="55" t="s">
        <v>477</v>
      </c>
      <c r="B462" s="18">
        <v>675385</v>
      </c>
      <c r="C462" s="18">
        <v>280289</v>
      </c>
    </row>
    <row r="463" spans="1:3" x14ac:dyDescent="0.2">
      <c r="A463" s="55" t="s">
        <v>478</v>
      </c>
      <c r="B463" s="18">
        <v>675385</v>
      </c>
      <c r="C463" s="18">
        <v>280297</v>
      </c>
    </row>
    <row r="464" spans="1:3" x14ac:dyDescent="0.2">
      <c r="A464" s="55" t="s">
        <v>479</v>
      </c>
      <c r="B464" s="18">
        <v>675385</v>
      </c>
      <c r="C464" s="18">
        <v>280305</v>
      </c>
    </row>
    <row r="465" spans="1:3" ht="15.75" x14ac:dyDescent="0.25">
      <c r="A465" s="19" t="s">
        <v>480</v>
      </c>
      <c r="B465" s="18">
        <v>675385</v>
      </c>
      <c r="C465" s="18">
        <v>290007</v>
      </c>
    </row>
    <row r="466" spans="1:3" x14ac:dyDescent="0.2">
      <c r="A466" s="55" t="s">
        <v>481</v>
      </c>
      <c r="B466" s="18">
        <v>675385</v>
      </c>
      <c r="C466" s="18">
        <v>290015</v>
      </c>
    </row>
    <row r="467" spans="1:3" x14ac:dyDescent="0.2">
      <c r="A467" s="55" t="s">
        <v>482</v>
      </c>
      <c r="B467" s="18">
        <v>675385</v>
      </c>
      <c r="C467" s="18">
        <v>290023</v>
      </c>
    </row>
    <row r="468" spans="1:3" x14ac:dyDescent="0.2">
      <c r="A468" s="55" t="s">
        <v>483</v>
      </c>
      <c r="B468" s="18">
        <v>675385</v>
      </c>
      <c r="C468" s="18">
        <v>290031</v>
      </c>
    </row>
    <row r="469" spans="1:3" x14ac:dyDescent="0.2">
      <c r="A469" s="55" t="s">
        <v>484</v>
      </c>
      <c r="B469" s="18">
        <v>675385</v>
      </c>
      <c r="C469" s="18">
        <v>290049</v>
      </c>
    </row>
    <row r="470" spans="1:3" x14ac:dyDescent="0.2">
      <c r="A470" s="55" t="s">
        <v>485</v>
      </c>
      <c r="B470" s="18">
        <v>675385</v>
      </c>
      <c r="C470" s="18">
        <v>290056</v>
      </c>
    </row>
    <row r="471" spans="1:3" x14ac:dyDescent="0.2">
      <c r="A471" s="55" t="s">
        <v>486</v>
      </c>
      <c r="B471" s="18">
        <v>675385</v>
      </c>
      <c r="C471" s="18">
        <v>290064</v>
      </c>
    </row>
    <row r="472" spans="1:3" x14ac:dyDescent="0.2">
      <c r="A472" s="55" t="s">
        <v>487</v>
      </c>
      <c r="B472" s="18">
        <v>675385</v>
      </c>
      <c r="C472" s="18">
        <v>290072</v>
      </c>
    </row>
    <row r="473" spans="1:3" x14ac:dyDescent="0.2">
      <c r="A473" s="55" t="s">
        <v>488</v>
      </c>
      <c r="B473" s="18">
        <v>675385</v>
      </c>
      <c r="C473" s="18">
        <v>290080</v>
      </c>
    </row>
    <row r="474" spans="1:3" x14ac:dyDescent="0.2">
      <c r="A474" s="55" t="s">
        <v>489</v>
      </c>
      <c r="B474" s="18">
        <v>675385</v>
      </c>
      <c r="C474" s="18">
        <v>290098</v>
      </c>
    </row>
    <row r="475" spans="1:3" ht="15.75" x14ac:dyDescent="0.25">
      <c r="A475" s="19" t="s">
        <v>490</v>
      </c>
      <c r="B475" s="18">
        <v>675385</v>
      </c>
      <c r="C475" s="18">
        <v>300004</v>
      </c>
    </row>
    <row r="476" spans="1:3" x14ac:dyDescent="0.2">
      <c r="A476" s="55" t="s">
        <v>491</v>
      </c>
      <c r="B476" s="18">
        <v>675385</v>
      </c>
      <c r="C476" s="18">
        <v>300012</v>
      </c>
    </row>
    <row r="477" spans="1:3" x14ac:dyDescent="0.2">
      <c r="A477" s="55" t="s">
        <v>179</v>
      </c>
      <c r="B477" s="18">
        <v>675385</v>
      </c>
      <c r="C477" s="18">
        <v>300020</v>
      </c>
    </row>
    <row r="478" spans="1:3" x14ac:dyDescent="0.2">
      <c r="A478" s="55" t="s">
        <v>492</v>
      </c>
      <c r="B478" s="18">
        <v>675385</v>
      </c>
      <c r="C478" s="18">
        <v>300038</v>
      </c>
    </row>
    <row r="479" spans="1:3" x14ac:dyDescent="0.2">
      <c r="A479" s="55" t="s">
        <v>493</v>
      </c>
      <c r="B479" s="18">
        <v>675385</v>
      </c>
      <c r="C479" s="18">
        <v>300046</v>
      </c>
    </row>
    <row r="480" spans="1:3" x14ac:dyDescent="0.2">
      <c r="A480" s="55" t="s">
        <v>494</v>
      </c>
      <c r="B480" s="18">
        <v>675385</v>
      </c>
      <c r="C480" s="18">
        <v>300053</v>
      </c>
    </row>
    <row r="481" spans="1:3" x14ac:dyDescent="0.2">
      <c r="A481" s="55" t="s">
        <v>495</v>
      </c>
      <c r="B481" s="18">
        <v>675385</v>
      </c>
      <c r="C481" s="18">
        <v>300079</v>
      </c>
    </row>
    <row r="482" spans="1:3" x14ac:dyDescent="0.2">
      <c r="A482" s="55" t="s">
        <v>496</v>
      </c>
      <c r="B482" s="18">
        <v>675385</v>
      </c>
      <c r="C482" s="18">
        <v>300087</v>
      </c>
    </row>
    <row r="483" spans="1:3" x14ac:dyDescent="0.2">
      <c r="A483" s="55" t="s">
        <v>497</v>
      </c>
      <c r="B483" s="18">
        <v>675385</v>
      </c>
      <c r="C483" s="18">
        <v>300095</v>
      </c>
    </row>
    <row r="484" spans="1:3" x14ac:dyDescent="0.2">
      <c r="A484" s="55" t="s">
        <v>498</v>
      </c>
      <c r="B484" s="18">
        <v>675385</v>
      </c>
      <c r="C484" s="18">
        <v>300103</v>
      </c>
    </row>
    <row r="485" spans="1:3" x14ac:dyDescent="0.2">
      <c r="A485" s="55" t="s">
        <v>499</v>
      </c>
      <c r="B485" s="18">
        <v>675385</v>
      </c>
      <c r="C485" s="18">
        <v>300111</v>
      </c>
    </row>
    <row r="486" spans="1:3" x14ac:dyDescent="0.2">
      <c r="A486" s="55" t="s">
        <v>500</v>
      </c>
      <c r="B486" s="18">
        <v>675385</v>
      </c>
      <c r="C486" s="18">
        <v>300129</v>
      </c>
    </row>
    <row r="487" spans="1:3" x14ac:dyDescent="0.2">
      <c r="A487" s="55" t="s">
        <v>501</v>
      </c>
      <c r="B487" s="18">
        <v>675385</v>
      </c>
      <c r="C487" s="18">
        <v>300137</v>
      </c>
    </row>
    <row r="488" spans="1:3" x14ac:dyDescent="0.2">
      <c r="A488" s="55" t="s">
        <v>502</v>
      </c>
      <c r="B488" s="18">
        <v>675385</v>
      </c>
      <c r="C488" s="18">
        <v>300145</v>
      </c>
    </row>
    <row r="489" spans="1:3" x14ac:dyDescent="0.2">
      <c r="A489" s="55" t="s">
        <v>503</v>
      </c>
      <c r="B489" s="18">
        <v>675385</v>
      </c>
      <c r="C489" s="18">
        <v>300152</v>
      </c>
    </row>
    <row r="490" spans="1:3" x14ac:dyDescent="0.2">
      <c r="A490" s="55" t="s">
        <v>504</v>
      </c>
      <c r="B490" s="18">
        <v>675385</v>
      </c>
      <c r="C490" s="18">
        <v>300160</v>
      </c>
    </row>
    <row r="491" spans="1:3" x14ac:dyDescent="0.2">
      <c r="A491" s="55" t="s">
        <v>505</v>
      </c>
      <c r="B491" s="18">
        <v>675385</v>
      </c>
      <c r="C491" s="18">
        <v>300178</v>
      </c>
    </row>
    <row r="492" spans="1:3" x14ac:dyDescent="0.2">
      <c r="A492" s="55" t="s">
        <v>506</v>
      </c>
      <c r="B492" s="18">
        <v>675385</v>
      </c>
      <c r="C492" s="18">
        <v>300186</v>
      </c>
    </row>
    <row r="493" spans="1:3" x14ac:dyDescent="0.2">
      <c r="A493" s="55" t="s">
        <v>507</v>
      </c>
      <c r="B493" s="18">
        <v>675385</v>
      </c>
      <c r="C493" s="18">
        <v>300194</v>
      </c>
    </row>
    <row r="494" spans="1:3" x14ac:dyDescent="0.2">
      <c r="A494" s="55" t="s">
        <v>508</v>
      </c>
      <c r="B494" s="18">
        <v>675385</v>
      </c>
      <c r="C494" s="18">
        <v>300202</v>
      </c>
    </row>
    <row r="495" spans="1:3" x14ac:dyDescent="0.2">
      <c r="A495" s="55" t="s">
        <v>509</v>
      </c>
      <c r="B495" s="18">
        <v>675385</v>
      </c>
      <c r="C495" s="18">
        <v>300210</v>
      </c>
    </row>
    <row r="496" spans="1:3" x14ac:dyDescent="0.2">
      <c r="A496" s="55" t="s">
        <v>510</v>
      </c>
      <c r="B496" s="18">
        <v>675385</v>
      </c>
      <c r="C496" s="18">
        <v>300228</v>
      </c>
    </row>
    <row r="497" spans="1:3" x14ac:dyDescent="0.2">
      <c r="A497" s="55" t="s">
        <v>511</v>
      </c>
      <c r="B497" s="18">
        <v>675385</v>
      </c>
      <c r="C497" s="18">
        <v>300236</v>
      </c>
    </row>
    <row r="498" spans="1:3" x14ac:dyDescent="0.2">
      <c r="A498" s="55" t="s">
        <v>512</v>
      </c>
      <c r="B498" s="18">
        <v>675385</v>
      </c>
      <c r="C498" s="18">
        <v>300244</v>
      </c>
    </row>
    <row r="499" spans="1:3" x14ac:dyDescent="0.2">
      <c r="A499" s="55" t="s">
        <v>513</v>
      </c>
      <c r="B499" s="18">
        <v>675385</v>
      </c>
      <c r="C499" s="18">
        <v>300251</v>
      </c>
    </row>
    <row r="500" spans="1:3" x14ac:dyDescent="0.2">
      <c r="A500" s="55" t="s">
        <v>514</v>
      </c>
      <c r="B500" s="18">
        <v>675385</v>
      </c>
      <c r="C500" s="18">
        <v>300269</v>
      </c>
    </row>
    <row r="501" spans="1:3" x14ac:dyDescent="0.2">
      <c r="A501" s="55" t="s">
        <v>515</v>
      </c>
      <c r="B501" s="18">
        <v>675385</v>
      </c>
      <c r="C501" s="18">
        <v>300277</v>
      </c>
    </row>
    <row r="502" spans="1:3" x14ac:dyDescent="0.2">
      <c r="A502" s="55" t="s">
        <v>516</v>
      </c>
      <c r="B502" s="18">
        <v>675385</v>
      </c>
      <c r="C502" s="18">
        <v>300285</v>
      </c>
    </row>
    <row r="503" spans="1:3" x14ac:dyDescent="0.2">
      <c r="A503" s="55" t="s">
        <v>72</v>
      </c>
      <c r="B503" s="18">
        <v>675385</v>
      </c>
      <c r="C503" s="18">
        <v>300293</v>
      </c>
    </row>
    <row r="504" spans="1:3" x14ac:dyDescent="0.2">
      <c r="A504" s="55" t="s">
        <v>517</v>
      </c>
      <c r="B504" s="18">
        <v>675385</v>
      </c>
      <c r="C504" s="18">
        <v>300301</v>
      </c>
    </row>
    <row r="505" spans="1:3" x14ac:dyDescent="0.2">
      <c r="A505" s="55" t="s">
        <v>518</v>
      </c>
      <c r="B505" s="18">
        <v>675385</v>
      </c>
      <c r="C505" s="18">
        <v>300319</v>
      </c>
    </row>
    <row r="506" spans="1:3" x14ac:dyDescent="0.2">
      <c r="A506" s="55" t="s">
        <v>519</v>
      </c>
      <c r="B506" s="18">
        <v>675385</v>
      </c>
      <c r="C506" s="18">
        <v>300327</v>
      </c>
    </row>
    <row r="507" spans="1:3" x14ac:dyDescent="0.2">
      <c r="A507" s="55" t="s">
        <v>520</v>
      </c>
      <c r="B507" s="18">
        <v>675385</v>
      </c>
      <c r="C507" s="18">
        <v>300335</v>
      </c>
    </row>
    <row r="508" spans="1:3" x14ac:dyDescent="0.2">
      <c r="A508" s="55" t="s">
        <v>521</v>
      </c>
      <c r="B508" s="18">
        <v>675385</v>
      </c>
      <c r="C508" s="18">
        <v>300343</v>
      </c>
    </row>
    <row r="509" spans="1:3" x14ac:dyDescent="0.2">
      <c r="A509" s="55" t="s">
        <v>522</v>
      </c>
      <c r="B509" s="18">
        <v>675385</v>
      </c>
      <c r="C509" s="18">
        <v>300350</v>
      </c>
    </row>
    <row r="510" spans="1:3" x14ac:dyDescent="0.2">
      <c r="A510" s="55" t="s">
        <v>523</v>
      </c>
      <c r="B510" s="18">
        <v>675385</v>
      </c>
      <c r="C510" s="18">
        <v>300368</v>
      </c>
    </row>
    <row r="511" spans="1:3" x14ac:dyDescent="0.2">
      <c r="A511" s="55" t="s">
        <v>524</v>
      </c>
      <c r="B511" s="18">
        <v>675385</v>
      </c>
      <c r="C511" s="18">
        <v>300376</v>
      </c>
    </row>
    <row r="512" spans="1:3" x14ac:dyDescent="0.2">
      <c r="A512" s="55" t="s">
        <v>525</v>
      </c>
      <c r="B512" s="18">
        <v>675385</v>
      </c>
      <c r="C512" s="18">
        <v>300384</v>
      </c>
    </row>
    <row r="513" spans="1:3" x14ac:dyDescent="0.2">
      <c r="A513" s="55" t="s">
        <v>526</v>
      </c>
      <c r="B513" s="18">
        <v>675385</v>
      </c>
      <c r="C513" s="18">
        <v>300392</v>
      </c>
    </row>
    <row r="514" spans="1:3" x14ac:dyDescent="0.2">
      <c r="A514" s="55" t="s">
        <v>527</v>
      </c>
      <c r="B514" s="18">
        <v>675385</v>
      </c>
      <c r="C514" s="18">
        <v>300400</v>
      </c>
    </row>
    <row r="515" spans="1:3" x14ac:dyDescent="0.2">
      <c r="A515" s="55" t="s">
        <v>528</v>
      </c>
      <c r="B515" s="18">
        <v>675385</v>
      </c>
      <c r="C515" s="18">
        <v>300418</v>
      </c>
    </row>
    <row r="516" spans="1:3" x14ac:dyDescent="0.2">
      <c r="A516" s="55" t="s">
        <v>529</v>
      </c>
      <c r="B516" s="18">
        <v>675385</v>
      </c>
      <c r="C516" s="18">
        <v>300426</v>
      </c>
    </row>
    <row r="517" spans="1:3" x14ac:dyDescent="0.2">
      <c r="A517" s="55" t="s">
        <v>530</v>
      </c>
      <c r="B517" s="18">
        <v>675385</v>
      </c>
      <c r="C517" s="18">
        <v>300434</v>
      </c>
    </row>
    <row r="518" spans="1:3" x14ac:dyDescent="0.2">
      <c r="A518" s="55" t="s">
        <v>531</v>
      </c>
      <c r="B518" s="18">
        <v>675385</v>
      </c>
      <c r="C518" s="18">
        <v>300442</v>
      </c>
    </row>
    <row r="519" spans="1:3" x14ac:dyDescent="0.2">
      <c r="A519" s="55" t="s">
        <v>532</v>
      </c>
      <c r="B519" s="18">
        <v>675385</v>
      </c>
      <c r="C519" s="18">
        <v>300459</v>
      </c>
    </row>
    <row r="520" spans="1:3" x14ac:dyDescent="0.2">
      <c r="A520" s="55" t="s">
        <v>533</v>
      </c>
      <c r="B520" s="18">
        <v>675385</v>
      </c>
      <c r="C520" s="18">
        <v>300467</v>
      </c>
    </row>
    <row r="521" spans="1:3" x14ac:dyDescent="0.2">
      <c r="A521" s="55" t="s">
        <v>534</v>
      </c>
      <c r="B521" s="18">
        <v>675385</v>
      </c>
      <c r="C521" s="18">
        <v>300475</v>
      </c>
    </row>
    <row r="522" spans="1:3" x14ac:dyDescent="0.2">
      <c r="A522" s="55" t="s">
        <v>535</v>
      </c>
      <c r="B522" s="18">
        <v>675385</v>
      </c>
      <c r="C522" s="18">
        <v>300483</v>
      </c>
    </row>
    <row r="523" spans="1:3" x14ac:dyDescent="0.2">
      <c r="A523" s="55" t="s">
        <v>536</v>
      </c>
      <c r="B523" s="18">
        <v>675385</v>
      </c>
      <c r="C523" s="18">
        <v>300491</v>
      </c>
    </row>
    <row r="524" spans="1:3" x14ac:dyDescent="0.2">
      <c r="A524" s="55" t="s">
        <v>537</v>
      </c>
      <c r="B524" s="18">
        <v>675385</v>
      </c>
      <c r="C524" s="18">
        <v>300509</v>
      </c>
    </row>
    <row r="525" spans="1:3" ht="15.75" x14ac:dyDescent="0.25">
      <c r="A525" s="19" t="s">
        <v>538</v>
      </c>
      <c r="B525" s="18">
        <v>675385</v>
      </c>
      <c r="C525" s="18">
        <v>310003</v>
      </c>
    </row>
    <row r="526" spans="1:3" x14ac:dyDescent="0.2">
      <c r="A526" s="55" t="s">
        <v>539</v>
      </c>
      <c r="B526" s="18">
        <v>675385</v>
      </c>
      <c r="C526" s="18">
        <v>310011</v>
      </c>
    </row>
    <row r="527" spans="1:3" x14ac:dyDescent="0.2">
      <c r="A527" s="55" t="s">
        <v>540</v>
      </c>
      <c r="B527" s="18">
        <v>675385</v>
      </c>
      <c r="C527" s="18">
        <v>310029</v>
      </c>
    </row>
    <row r="528" spans="1:3" x14ac:dyDescent="0.2">
      <c r="A528" s="55" t="s">
        <v>541</v>
      </c>
      <c r="B528" s="18">
        <v>675385</v>
      </c>
      <c r="C528" s="18">
        <v>310037</v>
      </c>
    </row>
    <row r="529" spans="1:3" x14ac:dyDescent="0.2">
      <c r="A529" s="55" t="s">
        <v>542</v>
      </c>
      <c r="B529" s="18">
        <v>675385</v>
      </c>
      <c r="C529" s="18">
        <v>310045</v>
      </c>
    </row>
    <row r="530" spans="1:3" x14ac:dyDescent="0.2">
      <c r="A530" s="55" t="s">
        <v>543</v>
      </c>
      <c r="B530" s="18">
        <v>675385</v>
      </c>
      <c r="C530" s="18">
        <v>310052</v>
      </c>
    </row>
    <row r="531" spans="1:3" ht="15.75" x14ac:dyDescent="0.25">
      <c r="A531" s="19" t="s">
        <v>544</v>
      </c>
      <c r="B531" s="18">
        <v>675385</v>
      </c>
      <c r="C531" s="18">
        <v>320002</v>
      </c>
    </row>
    <row r="532" spans="1:3" x14ac:dyDescent="0.2">
      <c r="A532" s="55" t="s">
        <v>545</v>
      </c>
      <c r="B532" s="18">
        <v>675385</v>
      </c>
      <c r="C532" s="18">
        <v>320010</v>
      </c>
    </row>
    <row r="533" spans="1:3" x14ac:dyDescent="0.2">
      <c r="A533" s="55" t="s">
        <v>546</v>
      </c>
      <c r="B533" s="18">
        <v>675385</v>
      </c>
      <c r="C533" s="18">
        <v>320028</v>
      </c>
    </row>
    <row r="534" spans="1:3" x14ac:dyDescent="0.2">
      <c r="A534" s="55" t="s">
        <v>547</v>
      </c>
      <c r="B534" s="18">
        <v>675385</v>
      </c>
      <c r="C534" s="18">
        <v>320036</v>
      </c>
    </row>
    <row r="535" spans="1:3" x14ac:dyDescent="0.2">
      <c r="A535" s="55" t="s">
        <v>548</v>
      </c>
      <c r="B535" s="18">
        <v>675385</v>
      </c>
      <c r="C535" s="18">
        <v>320044</v>
      </c>
    </row>
    <row r="536" spans="1:3" x14ac:dyDescent="0.2">
      <c r="A536" s="55" t="s">
        <v>549</v>
      </c>
      <c r="B536" s="18">
        <v>675385</v>
      </c>
      <c r="C536" s="18">
        <v>320051</v>
      </c>
    </row>
    <row r="537" spans="1:3" x14ac:dyDescent="0.2">
      <c r="A537" s="55" t="s">
        <v>550</v>
      </c>
      <c r="B537" s="18">
        <v>675385</v>
      </c>
      <c r="C537" s="18">
        <v>320069</v>
      </c>
    </row>
    <row r="538" spans="1:3" x14ac:dyDescent="0.2">
      <c r="A538" s="55" t="s">
        <v>551</v>
      </c>
      <c r="B538" s="18">
        <v>675385</v>
      </c>
      <c r="C538" s="18">
        <v>320077</v>
      </c>
    </row>
    <row r="539" spans="1:3" x14ac:dyDescent="0.2">
      <c r="A539" s="55" t="s">
        <v>552</v>
      </c>
      <c r="B539" s="18">
        <v>675385</v>
      </c>
      <c r="C539" s="18">
        <v>320085</v>
      </c>
    </row>
  </sheetData>
  <sheetProtection password="CF2B" sheet="1" objects="1" scenarios="1" selectLockedCells="1"/>
  <mergeCells count="1">
    <mergeCell ref="A1:A3"/>
  </mergeCells>
  <phoneticPr fontId="7" type="noConversion"/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ista_Ventas">
                <anchor moveWithCells="1" sizeWithCells="1">
                  <from>
                    <xdr:col>3</xdr:col>
                    <xdr:colOff>123825</xdr:colOff>
                    <xdr:row>0</xdr:row>
                    <xdr:rowOff>66675</xdr:rowOff>
                  </from>
                  <to>
                    <xdr:col>5</xdr:col>
                    <xdr:colOff>400050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Factura de ventas</vt:lpstr>
      <vt:lpstr>Claves</vt:lpstr>
      <vt:lpstr>Referencias Bancarias</vt:lpstr>
      <vt:lpstr>Claves!Área_de_impresión</vt:lpstr>
      <vt:lpstr>'Factura de ventas'!Área_de_impresión</vt:lpstr>
      <vt:lpstr>Claves!Títulos_a_imprimir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Orden Compra CRM</dc:title>
  <dc:subject/>
  <dc:creator>JMancera</dc:creator>
  <cp:keywords/>
  <dc:description/>
  <cp:lastModifiedBy>Javier Mancera Saldaña</cp:lastModifiedBy>
  <cp:lastPrinted>2019-05-31T18:25:55Z</cp:lastPrinted>
  <dcterms:created xsi:type="dcterms:W3CDTF">2000-07-27T22:24:14Z</dcterms:created>
  <dcterms:modified xsi:type="dcterms:W3CDTF">2019-09-24T21:08:56Z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TC062070953082</vt:lpwstr>
  </property>
</Properties>
</file>